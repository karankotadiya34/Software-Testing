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 Info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Cases'!$A$1:$J$36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<sst xmlns="http://schemas.openxmlformats.org/spreadsheetml/2006/main" count="420" uniqueCount="285">
  <si>
    <t xml:space="preserve">Practical 4 - Login Module Test Case Suite</t>
  </si>
  <si>
    <t xml:space="preserve">Application Under Test</t>
  </si>
  <si>
    <t xml:space="preserve">https://practicetestautomation.com/practice-test-login/</t>
  </si>
  <si>
    <t xml:space="preserve">Module</t>
  </si>
  <si>
    <t xml:space="preserve">Login Module</t>
  </si>
  <si>
    <t xml:space="preserve">SDLC Model</t>
  </si>
  <si>
    <t xml:space="preserve">Agile Model</t>
  </si>
  <si>
    <t xml:space="preserve">Test Approach</t>
  </si>
  <si>
    <t xml:space="preserve">Automation-oriented (Selenium WebDriver style locators and assertions); executed manually to validate behaviour prior to script implementation</t>
  </si>
  <si>
    <t xml:space="preserve">Environment</t>
  </si>
  <si>
    <t xml:space="preserve">Web Application - Chrome 127 / Firefox 129 / Edge 127, Windows 11, 1920x1080 (plus mobile/tablet viewports via DevTools device emulation)</t>
  </si>
  <si>
    <t xml:space="preserve">Tester</t>
  </si>
  <si>
    <t xml:space="preserve">Execution Date</t>
  </si>
  <si>
    <t xml:space="preserve">03-Aug-2026</t>
  </si>
  <si>
    <t xml:space="preserve">Valid Credentials</t>
  </si>
  <si>
    <t xml:space="preserve">Username: student  |  Password: Password123</t>
  </si>
  <si>
    <t xml:space="preserve">Total Test Cases</t>
  </si>
  <si>
    <t xml:space="preserve">35</t>
  </si>
  <si>
    <t xml:space="preserve">Test Category Coverage</t>
  </si>
  <si>
    <t xml:space="preserve">Functional Testing</t>
  </si>
  <si>
    <t xml:space="preserve">6 test case(s)</t>
  </si>
  <si>
    <t xml:space="preserve">UI Testing</t>
  </si>
  <si>
    <t xml:space="preserve">4 test case(s)</t>
  </si>
  <si>
    <t xml:space="preserve">Navigation Testing</t>
  </si>
  <si>
    <t xml:space="preserve">Boundary Testing</t>
  </si>
  <si>
    <t xml:space="preserve">3 test case(s)</t>
  </si>
  <si>
    <t xml:space="preserve">Input Validation</t>
  </si>
  <si>
    <t xml:space="preserve">5 test case(s)</t>
  </si>
  <si>
    <t xml:space="preserve">Performance Observation</t>
  </si>
  <si>
    <t xml:space="preserve">Compatibility Testing</t>
  </si>
  <si>
    <t xml:space="preserve">Responsive Testing</t>
  </si>
  <si>
    <t xml:space="preserve">Security Observation</t>
  </si>
  <si>
    <t xml:space="preserve">2 test case(s)</t>
  </si>
  <si>
    <t xml:space="preserve">Error Handling</t>
  </si>
  <si>
    <t xml:space="preserve">Test Case ID</t>
  </si>
  <si>
    <t xml:space="preserve">Category</t>
  </si>
  <si>
    <t xml:space="preserve">Test Scenario</t>
  </si>
  <si>
    <t xml:space="preserve">Test Steps</t>
  </si>
  <si>
    <t xml:space="preserve">Test Data / Input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</si>
  <si>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</si>
  <si>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</si>
  <si>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</si>
  <si>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</si>
  <si>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Automation Notes (Locator / Assertion)</t>
  </si>
  <si>
    <t xml:space="preserve">TC_AUTO_001</t>
  </si>
  <si>
    <t xml:space="preserve">Verify successful login with valid username and password</t>
  </si>
  <si>
    <t xml:space="preserve">1. Navigate to login page
2. Enter Username = student
3. Enter Password = Password123
4. Click Submit</t>
  </si>
  <si>
    <t xml:space="preserve">student / Password123</t>
  </si>
  <si>
    <t xml:space="preserve">User is redirected to URL containing /logged-in-successfully/; page displays success text and a Log out button</t>
  </si>
  <si>
    <t xml:space="preserve">Redirected to /logged-in-successfully/; 'Congratulations student. You successfully logged in!' and Log out button displayed</t>
  </si>
  <si>
    <t xml:space="preserve">High</t>
  </si>
  <si>
    <t xml:space="preserve">Pass</t>
  </si>
  <si>
    <t xml:space="preserve">By.Id('username'), By.Id('password'), By.Id('submit'); assert driver.current_url contains '/logged-in-successfully/'</t>
  </si>
  <si>
    <t xml:space="preserve">TC_AUTO_002</t>
  </si>
  <si>
    <t xml:space="preserve">Verify login fails with invalid username and valid password</t>
  </si>
  <si>
    <t xml:space="preserve">1. Navigate to login page
2. Enter Username = incorrectUser
3. Enter Password = Password123
4. Click Submit</t>
  </si>
  <si>
    <t xml:space="preserve">incorrectUser / Password123</t>
  </si>
  <si>
    <t xml:space="preserve">Error banner displayed with text 'Your username is invalid!'</t>
  </si>
  <si>
    <t xml:space="preserve">Error banner displayed: 'Your username is invalid!'</t>
  </si>
  <si>
    <t xml:space="preserve">assert By.Id('error').getText() == 'Your username is invalid!'</t>
  </si>
  <si>
    <t xml:space="preserve">TC_AUTO_003</t>
  </si>
  <si>
    <t xml:space="preserve">Verify login fails with valid username and invalid password</t>
  </si>
  <si>
    <t xml:space="preserve">1. Navigate to login page
2. Enter Username = student
3. Enter Password = incorrectPassword
4. Click Submit</t>
  </si>
  <si>
    <t xml:space="preserve">student / incorrectPassword</t>
  </si>
  <si>
    <t xml:space="preserve">Error banner displayed with text 'Your password is invalid!'</t>
  </si>
  <si>
    <t xml:space="preserve">Error banner displayed: 'Your password is invalid!'</t>
  </si>
  <si>
    <t xml:space="preserve">assert By.Id('error').getText() == 'Your password is invalid!'</t>
  </si>
  <si>
    <t xml:space="preserve">TC_AUTO_004</t>
  </si>
  <si>
    <t xml:space="preserve">Verify login fails with invalid username and invalid password</t>
  </si>
  <si>
    <t xml:space="preserve">1. Navigate to login page
2. Enter Username = wrongUser
3. Enter Password = wrongPass
4. Click Submit</t>
  </si>
  <si>
    <t xml:space="preserve">wrongUser / wrongPass</t>
  </si>
  <si>
    <t xml:space="preserve">Error banner displayed with text 'Your username is invalid!' (username validated before password)</t>
  </si>
  <si>
    <t xml:space="preserve">Error banner displayed: 'Your username is invalid!'; confirms validation order checks username field first</t>
  </si>
  <si>
    <t xml:space="preserve">Medium</t>
  </si>
  <si>
    <t xml:space="preserve">Assert error text equals username-invalid message, not password-invalid message</t>
  </si>
  <si>
    <t xml:space="preserve">TC_AUTO_005</t>
  </si>
  <si>
    <t xml:space="preserve">Verify login fails when Username field is left empty</t>
  </si>
  <si>
    <t xml:space="preserve">1. Navigate to login page
2. Leave Username blank
3. Enter Password = Password123
4. Click Submit</t>
  </si>
  <si>
    <t xml:space="preserve">'' / Password123</t>
  </si>
  <si>
    <t xml:space="preserve">Error banner displayed: 'Your username is invalid!'; empty string treated same as any non-matching value</t>
  </si>
  <si>
    <t xml:space="preserve">sendKeys('') then submit; assert error text</t>
  </si>
  <si>
    <t xml:space="preserve">TC_AUTO_006</t>
  </si>
  <si>
    <t xml:space="preserve">Verify login fails when Password field is left empty</t>
  </si>
  <si>
    <t xml:space="preserve">1. Navigate to login page
2. Enter Username = student
3. Leave Password blank
4. Click Submit</t>
  </si>
  <si>
    <t xml:space="preserve">student / ''</t>
  </si>
  <si>
    <t xml:space="preserve">Assert error text equals password-invalid message</t>
  </si>
  <si>
    <t xml:space="preserve">TC_AUTO_007</t>
  </si>
  <si>
    <t xml:space="preserve">Verify all login page elements render correctly (fields, button, instructional text)</t>
  </si>
  <si>
    <t xml:space="preserve">1. Navigate to login page
2. Verify Username field, Password field, Submit button and instructional text block are present and visible</t>
  </si>
  <si>
    <t xml:space="preserve">N/A</t>
  </si>
  <si>
    <t xml:space="preserve">Username field, Password field, Submit button and instruction text are all visible with no broken/missing elements</t>
  </si>
  <si>
    <t xml:space="preserve">All elements rendered correctly; instruction block listing sample credentials was visible above the form</t>
  </si>
  <si>
    <t xml:space="preserve">isDisplayed() checks on By.Id('username'), By.Id('password'), By.Id('submit')</t>
  </si>
  <si>
    <t xml:space="preserve">TC_AUTO_008</t>
  </si>
  <si>
    <t xml:space="preserve">Verify password input masks entered characters</t>
  </si>
  <si>
    <t xml:space="preserve">1. Navigate to login page
2. Enter Password = Password123
3. Observe field rendering</t>
  </si>
  <si>
    <t xml:space="preserve">Password123</t>
  </si>
  <si>
    <t xml:space="preserve">Characters are masked (dots/asterisks); plain text is not visible on screen</t>
  </si>
  <si>
    <t xml:space="preserve">Password field rendered type='password'; characters masked as expected, no visibility-toggle control present on this page</t>
  </si>
  <si>
    <t xml:space="preserve">Low</t>
  </si>
  <si>
    <t xml:space="preserve">assert password field.getAttribute('type') == 'password'</t>
  </si>
  <si>
    <t xml:space="preserve">TC_AUTO_009</t>
  </si>
  <si>
    <t xml:space="preserve">Verify error message is displayed with correct text and visible styling on failed login</t>
  </si>
  <si>
    <t xml:space="preserve">1. Navigate to login page
2. Submit invalid credentials
3. Observe error banner styling and placement</t>
  </si>
  <si>
    <t xml:space="preserve">Error banner is visually distinct (red text/icon), placed above the form, and readable</t>
  </si>
  <si>
    <t xml:space="preserve">Error banner rendered in red text with a warning icon directly above the Username field; clearly legible</t>
  </si>
  <si>
    <t xml:space="preserve">Verify CSS class 'show' toggled on #error element after failed submit</t>
  </si>
  <si>
    <t xml:space="preserve">TC_AUTO_010</t>
  </si>
  <si>
    <t xml:space="preserve">Verify Submit button provides client-side guard for empty fields</t>
  </si>
  <si>
    <t xml:space="preserve">1. Navigate to login page
2. Leave both fields empty
3. Click Submit</t>
  </si>
  <si>
    <t xml:space="preserve">'' / ''</t>
  </si>
  <si>
    <t xml:space="preserve">Submit button is disabled, or an inline validation cue appears before a server/JS round trip</t>
  </si>
  <si>
    <t xml:space="preserve">Submit button remained enabled and clickable with both fields empty; validation only occurs after Submit is clicked and returns 'Your username is invalid!'</t>
  </si>
  <si>
    <t xml:space="preserve">Fail</t>
  </si>
  <si>
    <t xml:space="preserve">assert submit.isEnabled() == False -&gt; failed; button has no disabled/aria-disabled attribute pre-submit</t>
  </si>
  <si>
    <t xml:space="preserve">TC_AUTO_011</t>
  </si>
  <si>
    <t xml:space="preserve">Verify successful login redirects to the correct URL</t>
  </si>
  <si>
    <t xml:space="preserve">1. Log in with valid credentials
2. Capture resulting URL</t>
  </si>
  <si>
    <t xml:space="preserve">Resulting URL contains 'practicetestautomation.com/logged-in-successfully/'</t>
  </si>
  <si>
    <t xml:space="preserve">URL after redirect: https://practicetestautomation.com/logged-in-successfully/</t>
  </si>
  <si>
    <t xml:space="preserve">assert '/logged-in-successfully/' in driver.current_url</t>
  </si>
  <si>
    <t xml:space="preserve">TC_AUTO_012</t>
  </si>
  <si>
    <t xml:space="preserve">Verify Log out button returns user to the login page</t>
  </si>
  <si>
    <t xml:space="preserve">1. Log in with valid credentials
2. Click Log out button on success page</t>
  </si>
  <si>
    <t xml:space="preserve">User is navigated back to the /practice-test-login/ page with the login form visible</t>
  </si>
  <si>
    <t xml:space="preserve">Clicking Log out navigated back to /practice-test-login/; login form fields displayed again</t>
  </si>
  <si>
    <t xml:space="preserve">By.LinkText('Log out').click(); assert current_url endswith '/practice-test-login/'</t>
  </si>
  <si>
    <t xml:space="preserve">TC_AUTO_013</t>
  </si>
  <si>
    <t xml:space="preserve">Verify browser Back button after logout does not restore an authenticated view</t>
  </si>
  <si>
    <t xml:space="preserve">1. Log in with valid credentials
2. Click Log out
3. Click browser Back button</t>
  </si>
  <si>
    <t xml:space="preserve">Application re-validates access; user is not shown the authenticated success page without re-entering credentials</t>
  </si>
  <si>
    <t xml:space="preserve">Browser Back displayed the cached success page from history without re-prompting for credentials, since the page has no server-side session to invalidate</t>
  </si>
  <si>
    <t xml:space="preserve">driver.back(); assert page requires re-authentication -&gt; failed; page served from browser cache</t>
  </si>
  <si>
    <t xml:space="preserve">TC_AUTO_014</t>
  </si>
  <si>
    <t xml:space="preserve">Verify direct navigation to the success URL without prior login is blocked</t>
  </si>
  <si>
    <t xml:space="preserve">1. Without logging in, navigate directly to https://practicetestautomation.com/logged-in-successfully/</t>
  </si>
  <si>
    <t xml:space="preserve">Direct URL access</t>
  </si>
  <si>
    <t xml:space="preserve">User is redirected to the login page or shown an access-denied response</t>
  </si>
  <si>
    <t xml:space="preserve">Success page loaded directly with no redirect or access check, since the page is static and has no server-side session/auth enforcement</t>
  </si>
  <si>
    <t xml:space="preserve">driver.get(success_url); assert current_url == login_url -&gt; failed</t>
  </si>
  <si>
    <t xml:space="preserve">TC_AUTO_015</t>
  </si>
  <si>
    <t xml:space="preserve">Verify system behavior with an extremely long username (300+ characters)</t>
  </si>
  <si>
    <t xml:space="preserve">1. Navigate to login page
2. Enter a 300-character username string
3. Enter Password = Password123
4. Click Submit</t>
  </si>
  <si>
    <t xml:space="preserve">'a' x 300 / Password123</t>
  </si>
  <si>
    <t xml:space="preserve">Field accepts input without truncation error or crash; login is rejected with the standard invalid-username message</t>
  </si>
  <si>
    <t xml:space="preserve">Field accepted the full string with no client-side maxlength restriction; submit returned 'Your username is invalid!' with no page error or crash</t>
  </si>
  <si>
    <t xml:space="preserve">sendKeys('a'*300); assert no exception thrown and error text matches</t>
  </si>
  <si>
    <t xml:space="preserve">TC_AUTO_016</t>
  </si>
  <si>
    <t xml:space="preserve">Verify system behavior with an extremely long password (300+ characters)</t>
  </si>
  <si>
    <t xml:space="preserve">1. Navigate to login page
2. Enter Username = student
3. Enter a 300-character password string
4. Click Submit</t>
  </si>
  <si>
    <t xml:space="preserve">student / 'b' x 300</t>
  </si>
  <si>
    <t xml:space="preserve">Field accepts input without truncation error or crash; login is rejected with the standard invalid-password message</t>
  </si>
  <si>
    <t xml:space="preserve">Field accepted full string, no crash; submit returned 'Your password is invalid!' as expected</t>
  </si>
  <si>
    <t xml:space="preserve">sendKeys('b'*300); assert error text matches password-invalid message</t>
  </si>
  <si>
    <t xml:space="preserve">TC_AUTO_017</t>
  </si>
  <si>
    <t xml:space="preserve">Verify system behavior with a single-character username</t>
  </si>
  <si>
    <t xml:space="preserve">1. Navigate to login page
2. Enter Username = 's'
3. Enter Password = Password123
4. Click Submit</t>
  </si>
  <si>
    <t xml:space="preserve">s / Password123</t>
  </si>
  <si>
    <t xml:space="preserve">Login is rejected with the standard invalid-username message; no exception</t>
  </si>
  <si>
    <t xml:space="preserve">Error banner displayed: 'Your username is invalid!'; no unexpected behaviour for minimal-length input</t>
  </si>
  <si>
    <t xml:space="preserve">Boundary check on lower length limit of username field</t>
  </si>
  <si>
    <t xml:space="preserve">TC_AUTO_018</t>
  </si>
  <si>
    <t xml:space="preserve">Verify Username field safely rejects a SQL-injection-style payload</t>
  </si>
  <si>
    <t xml:space="preserve">1. Navigate to login page
2. Enter Username = ' OR '1'='1
3. Enter Password = Password123
4. Click Submit</t>
  </si>
  <si>
    <t xml:space="preserve">' OR '1'='1 / Password123</t>
  </si>
  <si>
    <t xml:space="preserve">Payload is treated as plain text and rejected with the standard invalid-username message; no bypass or script error</t>
  </si>
  <si>
    <t xml:space="preserve">Payload treated as literal invalid-username string; standard error shown. No injection risk observed - credential check is client-side against a hardcoded value, not a database query</t>
  </si>
  <si>
    <t xml:space="preserve">Regression check for injection strings; assert no unexpected redirect to success URL</t>
  </si>
  <si>
    <t xml:space="preserve">TC_AUTO_019</t>
  </si>
  <si>
    <t xml:space="preserve">Verify Username field safely handles a script-injection (XSS) payload</t>
  </si>
  <si>
    <t xml:space="preserve">1. Navigate to login page
2. Enter Username = &lt;script&gt;alert(1)&lt;/script&gt;
3. Enter Password = Password123
4. Click Submit</t>
  </si>
  <si>
    <t xml:space="preserve">&lt;script&gt;alert(1)&lt;/script&gt; / Password123</t>
  </si>
  <si>
    <t xml:space="preserve">Payload is not executed and is not reflected unsanitised anywhere on the page; standard invalid-username message shown</t>
  </si>
  <si>
    <t xml:space="preserve">No script execution occurred; error banner text remained the fixed string 'Your username is invalid!' and did not echo the submitted value</t>
  </si>
  <si>
    <t xml:space="preserve">assert no JS alert/dialog is triggered; assert error element does not contain raw input</t>
  </si>
  <si>
    <t xml:space="preserve">TC_AUTO_020</t>
  </si>
  <si>
    <t xml:space="preserve">Verify Username field handles special characters</t>
  </si>
  <si>
    <t xml:space="preserve">1. Navigate to login page
2. Enter Username = !@#$%^&amp;*()
3. Enter Password = Password123
4. Click Submit</t>
  </si>
  <si>
    <t xml:space="preserve">!@#$%^&amp;*() / Password123</t>
  </si>
  <si>
    <t xml:space="preserve">Login is rejected with the standard invalid-username message; no page error</t>
  </si>
  <si>
    <t xml:space="preserve">Error banner displayed: 'Your username is invalid!'; field accepted special characters without validation error of its own</t>
  </si>
  <si>
    <t xml:space="preserve">Data-driven test with special-character input set</t>
  </si>
  <si>
    <t xml:space="preserve">TC_AUTO_021</t>
  </si>
  <si>
    <t xml:space="preserve">Verify login fails when both fields contain only whitespace</t>
  </si>
  <si>
    <t xml:space="preserve">1. Navigate to login page
2. Enter '   ' (spaces) into Username
3. Enter '   ' (spaces) into Password
4. Click Submit</t>
  </si>
  <si>
    <t xml:space="preserve">'   ' / '   '</t>
  </si>
  <si>
    <t xml:space="preserve">Whitespace-only input is treated as not matching valid credentials; standard invalid-username message shown</t>
  </si>
  <si>
    <t xml:space="preserve">Error banner displayed: 'Your username is invalid!'; whitespace is not trimmed to an empty match nor accepted as valid</t>
  </si>
  <si>
    <t xml:space="preserve">sendKeys('   ') to both fields; assert error text</t>
  </si>
  <si>
    <t xml:space="preserve">TC_AUTO_022</t>
  </si>
  <si>
    <t xml:space="preserve">Verify login fails when a valid username has leading/trailing whitespace</t>
  </si>
  <si>
    <t xml:space="preserve">1. Navigate to login page
2. Enter Username = '  student  '
3. Enter Password = Password123
4. Click Submit</t>
  </si>
  <si>
    <t xml:space="preserve">'  student  ' / Password123</t>
  </si>
  <si>
    <t xml:space="preserve">Comparison is exact-match; untrimmed value does not equal 'student', so login is rejected</t>
  </si>
  <si>
    <t xml:space="preserve">Error banner displayed: 'Your username is invalid!'; confirms the field performs no automatic trimming before comparison</t>
  </si>
  <si>
    <t xml:space="preserve">sendKeys('  student  '); assert rejected, documenting exact-match behaviour for future automation</t>
  </si>
  <si>
    <t xml:space="preserve">TC_AUTO_023</t>
  </si>
  <si>
    <t xml:space="preserve">Observe login page initial load time</t>
  </si>
  <si>
    <t xml:space="preserve">1. Clear cache
2. Navigate to login page
3. Observe time to fully interactive state</t>
  </si>
  <si>
    <t xml:space="preserve">Page becomes interactive quickly given its lightweight static structure</t>
  </si>
  <si>
    <t xml:space="preserve">Page loaded and became interactive in well under 2 seconds on a standard broadband connection; no render-blocking third-party scripts observed</t>
  </si>
  <si>
    <t xml:space="preserve">window.performance.timing / Navigation Timing API can be captured via JS execution in the automation script</t>
  </si>
  <si>
    <t xml:space="preserve">TC_AUTO_024</t>
  </si>
  <si>
    <t xml:space="preserve">Observe response time between Submit click and success page render</t>
  </si>
  <si>
    <t xml:space="preserve">1. Enter valid credentials
2. Click Submit
3. Observe time until success page is rendered</t>
  </si>
  <si>
    <t xml:space="preserve">Redirect occurs promptly since validation logic runs client-side with no backend round trip</t>
  </si>
  <si>
    <t xml:space="preserve">Redirect to the success page occurred near-instantly (client-side JavaScript navigation); no perceptible network wait</t>
  </si>
  <si>
    <t xml:space="preserve">Measure elapsed time between submit.click() and current_url change using WebDriverWait</t>
  </si>
  <si>
    <t xml:space="preserve">TC_AUTO_025</t>
  </si>
  <si>
    <t xml:space="preserve">Observe response time between Submit click and error message display</t>
  </si>
  <si>
    <t xml:space="preserve">1. Enter invalid credentials
2. Click Submit
3. Observe time until error banner appears</t>
  </si>
  <si>
    <t xml:space="preserve">Error banner appears promptly since it is toggled via client-side DOM manipulation</t>
  </si>
  <si>
    <t xml:space="preserve">Error banner appeared immediately on click, consistent with a purely client-side validation path</t>
  </si>
  <si>
    <t xml:space="preserve">Measure elapsed time between submit.click() and #error element becoming visible</t>
  </si>
  <si>
    <t xml:space="preserve">TC_AUTO_026</t>
  </si>
  <si>
    <t xml:space="preserve">Verify login functionality on Google Chrome</t>
  </si>
  <si>
    <t xml:space="preserve">1. Open login page in Chrome
2. Execute TC_AUTO_001 (valid login) and TC_AUTO_002 (invalid username)</t>
  </si>
  <si>
    <t xml:space="preserve">Chrome (latest stable)</t>
  </si>
  <si>
    <t xml:space="preserve">Layout renders correctly and both scenarios behave as on the baseline browser</t>
  </si>
  <si>
    <t xml:space="preserve">Page rendered and functioned identically to baseline; no layout shift or console errors observed</t>
  </si>
  <si>
    <t xml:space="preserve">Selenium ChromeDriver session; part of cross-browser grid/matrix run</t>
  </si>
  <si>
    <t xml:space="preserve">TC_AUTO_027</t>
  </si>
  <si>
    <t xml:space="preserve">Verify login functionality on Mozilla Firefox</t>
  </si>
  <si>
    <t xml:space="preserve">1. Open login page in Firefox
2. Execute TC_AUTO_001 and TC_AUTO_002</t>
  </si>
  <si>
    <t xml:space="preserve">Firefox (latest stable)</t>
  </si>
  <si>
    <t xml:space="preserve">Selenium GeckoDriver session; part of cross-browser grid/matrix run</t>
  </si>
  <si>
    <t xml:space="preserve">TC_AUTO_028</t>
  </si>
  <si>
    <t xml:space="preserve">Verify login functionality on Microsoft Edge</t>
  </si>
  <si>
    <t xml:space="preserve">1. Open login page in Edge
2. Execute TC_AUTO_001 and TC_AUTO_002</t>
  </si>
  <si>
    <t xml:space="preserve">Edge (latest stable, Chromium-based)</t>
  </si>
  <si>
    <t xml:space="preserve">Selenium EdgeDriver session; part of cross-browser grid/matrix run</t>
  </si>
  <si>
    <t xml:space="preserve">TC_AUTO_029</t>
  </si>
  <si>
    <t xml:space="preserve">Verify login page layout on mobile viewport (375x667, iPhone SE)</t>
  </si>
  <si>
    <t xml:space="preserve">1. Set viewport to 375x667
2. Load login page
3. Verify fields and button remain visible and usable</t>
  </si>
  <si>
    <t xml:space="preserve">375x667</t>
  </si>
  <si>
    <t xml:space="preserve">Form fields stack vertically and remain fully visible with no horizontal scroll or overlap</t>
  </si>
  <si>
    <t xml:space="preserve">Form rendered in a single readable column, fully within viewport width, no clipped elements</t>
  </si>
  <si>
    <t xml:space="preserve">driver.set_window_size(375, 667); visual/layout assertions</t>
  </si>
  <si>
    <t xml:space="preserve">TC_AUTO_030</t>
  </si>
  <si>
    <t xml:space="preserve">Verify login page layout on tablet viewport (768x1024, iPad)</t>
  </si>
  <si>
    <t xml:space="preserve">1. Set viewport to 768x1024
2. Load login page
3. Verify fields and button remain visible and usable</t>
  </si>
  <si>
    <t xml:space="preserve">768x1024</t>
  </si>
  <si>
    <t xml:space="preserve">Form remains centred and readable at tablet width with no overlap</t>
  </si>
  <si>
    <t xml:space="preserve">Form rendered centred with appropriate spacing; no overlap or clipping observed</t>
  </si>
  <si>
    <t xml:space="preserve">driver.set_window_size(768, 1024)</t>
  </si>
  <si>
    <t xml:space="preserve">TC_AUTO_031</t>
  </si>
  <si>
    <t xml:space="preserve">Verify login page layout on desktop widescreen viewport (1920x1080)</t>
  </si>
  <si>
    <t xml:space="preserve">1. Set viewport to 1920x1080
2. Load login page
3. Verify layout scaling and alignment</t>
  </si>
  <si>
    <t xml:space="preserve">1920x1080</t>
  </si>
  <si>
    <t xml:space="preserve">Form remains centred with balanced whitespace; no stretching of input fields</t>
  </si>
  <si>
    <t xml:space="preserve">Form remained centred at a fixed maximum width; surrounding whitespace scaled correctly with no field stretching</t>
  </si>
  <si>
    <t xml:space="preserve">driver.set_window_size(1920, 1080)</t>
  </si>
  <si>
    <t xml:space="preserve">TC_AUTO_032</t>
  </si>
  <si>
    <t xml:space="preserve">Verify password value is not exposed as readable plain text in the rendered page</t>
  </si>
  <si>
    <t xml:space="preserve">1. Enter Password = Password123
2. Inspect the rendered field on screen</t>
  </si>
  <si>
    <t xml:space="preserve">Field visually masks the password using the browser's native password-input rendering</t>
  </si>
  <si>
    <t xml:space="preserve">Field correctly used type='password', masking the value on screen; note that the raw value is still present in the DOM as is standard for any password input, which is expected browser behaviour rather than a defect</t>
  </si>
  <si>
    <t xml:space="preserve">getAttribute('type') == 'password'; documents expected behaviour, not a vulnerability</t>
  </si>
  <si>
    <t xml:space="preserve">TC_AUTO_033</t>
  </si>
  <si>
    <t xml:space="preserve">Verify error messages do not enable username enumeration</t>
  </si>
  <si>
    <t xml:space="preserve">1. Submit an invalid username with a valid-format password
2. Submit a valid username with an invalid password
3. Compare the two error messages</t>
  </si>
  <si>
    <t xml:space="preserve">incorrectUser/Password123 vs student/incorrectPassword</t>
  </si>
  <si>
    <t xml:space="preserve">Error messaging should not let an attacker distinguish between 'account does not exist' and 'account exists, wrong password'</t>
  </si>
  <si>
    <t xml:space="preserve">Two distinct messages are returned ('Your username is invalid!' vs 'Your password is invalid!'), which allows an observer to confirm that the username 'student' is a valid account by comparing responses</t>
  </si>
  <si>
    <t xml:space="preserve">Data-driven comparison of error text across the two negative scenarios; flagged as a username-enumeration observation</t>
  </si>
  <si>
    <t xml:space="preserve">TC_AUTO_034</t>
  </si>
  <si>
    <t xml:space="preserve">Verify system behaviour under repeated failed login attempts (rate limiting / lockout)</t>
  </si>
  <si>
    <t xml:space="preserve">1. Enter Username = student
2. Enter Password = incorrectPassword
3. Click Submit
4. Repeat steps 2-3 twenty or more times in quick succession</t>
  </si>
  <si>
    <t xml:space="preserve">student / incorrectPassword, repeated 20+ times</t>
  </si>
  <si>
    <t xml:space="preserve">After a defined threshold, a CAPTCHA, temporary lockout, or throttling warning should appear</t>
  </si>
  <si>
    <t xml:space="preserve">Each of the 20+ attempts returned the same 'Your password is invalid!' message with no CAPTCHA, delay, or lockout at any point</t>
  </si>
  <si>
    <t xml:space="preserve">Loop submit 20+ times; assert a lockout/CAPTCHA element appears -&gt; failed; no such control exists on this page</t>
  </si>
  <si>
    <t xml:space="preserve">TC_AUTO_035</t>
  </si>
  <si>
    <t xml:space="preserve">Verify error message updates correctly on retry without a full page reload</t>
  </si>
  <si>
    <t xml:space="preserve">1. Submit an invalid username to trigger an error
2. Without reloading, correct the username and submit again with a wrong password
3. Observe the error banner content</t>
  </si>
  <si>
    <t xml:space="preserve">incorrectUser/Password123, then student/incorrectPassword</t>
  </si>
  <si>
    <t xml:space="preserve">Error banner text updates from the username message to the password message on the second submit, without requiring a page reload</t>
  </si>
  <si>
    <t xml:space="preserve">Error banner correctly replaced 'Your username is invalid!' with 'Your password is invalid!' on the second submit, confirming the DOM element is updated rather than appended</t>
  </si>
  <si>
    <t xml:space="preserve">Assert error element text changes between the two submits within the same page session</t>
  </si>
  <si>
    <t xml:space="preserve">Execution Summary</t>
  </si>
  <si>
    <t xml:space="preserve">Passed</t>
  </si>
  <si>
    <t xml:space="preserve">Failed</t>
  </si>
  <si>
    <t xml:space="preserve">Pass Percentage</t>
  </si>
  <si>
    <t xml:space="preserve">Category-wise Breakdown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</si>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</sst>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C6E0B4"/>
        <bgColor rgb="FFD9E2F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</cols>
  <sheetData>
    <row r="1" customFormat="false" ht="30" hidden="false" customHeight="true" outlineLevel="0" collapsed="false">
      <c r="A1" s="1" t="s">
        <v>0</v>
      </c>
      <c r="B1" s="1"/>
    </row>
    <row r="3" customFormat="false" ht="27.75" hidden="false" customHeight="true" outlineLevel="0" collapsed="false">
      <c r="A3" s="2" t="s">
        <v>1</v>
      </c>
      <c r="B3" s="3" t="s">
        <v>2</v>
      </c>
    </row>
    <row r="4" customFormat="false" ht="27.75" hidden="false" customHeight="true" outlineLevel="0" collapsed="false">
      <c r="A4" s="2" t="s">
        <v>3</v>
      </c>
      <c r="B4" s="3" t="s">
        <v>4</v>
      </c>
    </row>
    <row r="5" customFormat="false" ht="27.75" hidden="false" customHeight="true" outlineLevel="0" collapsed="false">
      <c r="A5" s="2" t="s">
        <v>5</v>
      </c>
      <c r="B5" s="3" t="s">
        <v>6</v>
      </c>
    </row>
    <row r="6" customFormat="false" ht="27.75" hidden="false" customHeight="true" outlineLevel="0" collapsed="false">
      <c r="A6" s="2" t="s">
        <v>7</v>
      </c>
      <c r="B6" s="3" t="s">
        <v>8</v>
      </c>
    </row>
    <row r="7" customFormat="false" ht="27.75" hidden="false" customHeight="true" outlineLevel="0" collapsed="false">
      <c r="A7" s="2" t="s">
        <v>9</v>
      </c>
      <c r="B7" s="3" t="s">
        <v>10</v>
      </c>
    </row>
    <row r="8" customFormat="false" ht="27.75" hidden="false" customHeight="true" outlineLevel="0" collapsed="false">
      <c r="A8" s="2" t="s">
        <v>11</v>
      </c>
      <c r="B8" s="3" t="s">
        <v>11</v>
      </c>
    </row>
    <row r="9" customFormat="false" ht="27.75" hidden="false" customHeight="true" outlineLevel="0" collapsed="false">
      <c r="A9" s="2" t="s">
        <v>12</v>
      </c>
      <c r="B9" s="3" t="s">
        <v>13</v>
      </c>
    </row>
    <row r="10" customFormat="false" ht="27.75" hidden="false" customHeight="true" outlineLevel="0" collapsed="false">
      <c r="A10" s="2" t="s">
        <v>14</v>
      </c>
      <c r="B10" s="3" t="s">
        <v>15</v>
      </c>
    </row>
    <row r="11" customFormat="false" ht="27.75" hidden="false" customHeight="true" outlineLevel="0" collapsed="false">
      <c r="A11" s="2" t="s">
        <v>16</v>
      </c>
      <c r="B11" s="3" t="s">
        <v>17</v>
      </c>
    </row>
    <row r="13" customFormat="false" ht="15" hidden="false" customHeight="false" outlineLevel="0" collapsed="false">
      <c r="A13" s="4" t="s">
        <v>18</v>
      </c>
      <c r="B13" s="4"/>
    </row>
    <row r="14" customFormat="false" ht="15" hidden="false" customHeight="false" outlineLevel="0" collapsed="false">
      <c r="A14" s="5" t="s">
        <v>19</v>
      </c>
      <c r="B14" s="5" t="s">
        <v>20</v>
      </c>
    </row>
    <row r="15" customFormat="false" ht="15" hidden="false" customHeight="false" outlineLevel="0" collapsed="false">
      <c r="A15" s="5" t="s">
        <v>21</v>
      </c>
      <c r="B15" s="5" t="s">
        <v>22</v>
      </c>
    </row>
    <row r="16" customFormat="false" ht="15" hidden="false" customHeight="false" outlineLevel="0" collapsed="false">
      <c r="A16" s="5" t="s">
        <v>23</v>
      </c>
      <c r="B16" s="5" t="s">
        <v>22</v>
      </c>
    </row>
    <row r="17" customFormat="false" ht="15" hidden="false" customHeight="false" outlineLevel="0" collapsed="false">
      <c r="A17" s="5" t="s">
        <v>24</v>
      </c>
      <c r="B17" s="5" t="s">
        <v>25</v>
      </c>
    </row>
    <row r="18" customFormat="false" ht="15" hidden="false" customHeight="false" outlineLevel="0" collapsed="false">
      <c r="A18" s="5" t="s">
        <v>26</v>
      </c>
      <c r="B18" s="5" t="s">
        <v>27</v>
      </c>
    </row>
    <row r="19" customFormat="false" ht="15" hidden="false" customHeight="false" outlineLevel="0" collapsed="false">
      <c r="A19" s="5" t="s">
        <v>28</v>
      </c>
      <c r="B19" s="5" t="s">
        <v>25</v>
      </c>
    </row>
    <row r="20" customFormat="false" ht="15" hidden="false" customHeight="false" outlineLevel="0" collapsed="false">
      <c r="A20" s="5" t="s">
        <v>29</v>
      </c>
      <c r="B20" s="5" t="s">
        <v>25</v>
      </c>
    </row>
    <row r="21" customFormat="false" ht="15" hidden="false" customHeight="false" outlineLevel="0" collapsed="false">
      <c r="A21" s="5" t="s">
        <v>30</v>
      </c>
      <c r="B21" s="5" t="s">
        <v>25</v>
      </c>
    </row>
    <row r="22" customFormat="false" ht="15" hidden="false" customHeight="false" outlineLevel="0" collapsed="false">
      <c r="A22" s="5" t="s">
        <v>31</v>
      </c>
      <c r="B22" s="5" t="s">
        <v>32</v>
      </c>
    </row>
    <row r="23" customFormat="false" ht="15" hidden="false" customHeight="false" outlineLevel="0" collapsed="false">
      <c r="A23" s="5" t="s">
        <v>33</v>
      </c>
      <c r="B23" s="5" t="s">
        <v>32</v>
      </c>
    </row>
  </sheetData>
  <mergeCells count="2">
    <mergeCell ref="A1:B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7" min="6" style="0" width="34"/>
    <col collapsed="false" customWidth="true" hidden="false" outlineLevel="0" max="9" min="8" style="0" width="10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</row>
    <row r="2" customFormat="false" ht="60" hidden="false" customHeight="true" outlineLevel="0" collapsed="false">
      <c r="A2" s="7" t="s">
        <v>44</v>
      </c>
      <c r="B2" s="8" t="s">
        <v>19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7" t="s">
        <v>50</v>
      </c>
      <c r="I2" s="9" t="s">
        <v>51</v>
      </c>
      <c r="J2" s="8" t="s">
        <v>52</v>
      </c>
    </row>
    <row r="3" customFormat="false" ht="60" hidden="false" customHeight="true" outlineLevel="0" collapsed="false">
      <c r="A3" s="10" t="s">
        <v>53</v>
      </c>
      <c r="B3" s="11" t="s">
        <v>19</v>
      </c>
      <c r="C3" s="11" t="s">
        <v>54</v>
      </c>
      <c r="D3" s="11" t="s">
        <v>55</v>
      </c>
      <c r="E3" s="11" t="s">
        <v>56</v>
      </c>
      <c r="F3" s="11" t="s">
        <v>57</v>
      </c>
      <c r="G3" s="11" t="s">
        <v>58</v>
      </c>
      <c r="H3" s="10" t="s">
        <v>50</v>
      </c>
      <c r="I3" s="9" t="s">
        <v>51</v>
      </c>
      <c r="J3" s="11" t="s">
        <v>59</v>
      </c>
    </row>
    <row r="4" customFormat="false" ht="60" hidden="false" customHeight="true" outlineLevel="0" collapsed="false">
      <c r="A4" s="7" t="s">
        <v>60</v>
      </c>
      <c r="B4" s="8" t="s">
        <v>19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7" t="s">
        <v>50</v>
      </c>
      <c r="I4" s="9" t="s">
        <v>51</v>
      </c>
      <c r="J4" s="8" t="s">
        <v>66</v>
      </c>
    </row>
    <row r="5" customFormat="false" ht="60" hidden="false" customHeight="true" outlineLevel="0" collapsed="false">
      <c r="A5" s="10" t="s">
        <v>67</v>
      </c>
      <c r="B5" s="11" t="s">
        <v>19</v>
      </c>
      <c r="C5" s="11" t="s">
        <v>68</v>
      </c>
      <c r="D5" s="11" t="s">
        <v>69</v>
      </c>
      <c r="E5" s="11" t="s">
        <v>70</v>
      </c>
      <c r="F5" s="11" t="s">
        <v>71</v>
      </c>
      <c r="G5" s="11" t="s">
        <v>72</v>
      </c>
      <c r="H5" s="10" t="s">
        <v>73</v>
      </c>
      <c r="I5" s="9" t="s">
        <v>51</v>
      </c>
      <c r="J5" s="11" t="s">
        <v>74</v>
      </c>
    </row>
    <row r="6" customFormat="false" ht="60" hidden="false" customHeight="true" outlineLevel="0" collapsed="false">
      <c r="A6" s="7" t="s">
        <v>75</v>
      </c>
      <c r="B6" s="8" t="s">
        <v>19</v>
      </c>
      <c r="C6" s="8" t="s">
        <v>76</v>
      </c>
      <c r="D6" s="8" t="s">
        <v>77</v>
      </c>
      <c r="E6" s="8" t="s">
        <v>78</v>
      </c>
      <c r="F6" s="8" t="s">
        <v>57</v>
      </c>
      <c r="G6" s="8" t="s">
        <v>79</v>
      </c>
      <c r="H6" s="7" t="s">
        <v>73</v>
      </c>
      <c r="I6" s="9" t="s">
        <v>51</v>
      </c>
      <c r="J6" s="8" t="s">
        <v>80</v>
      </c>
    </row>
    <row r="7" customFormat="false" ht="60" hidden="false" customHeight="true" outlineLevel="0" collapsed="false">
      <c r="A7" s="10" t="s">
        <v>81</v>
      </c>
      <c r="B7" s="11" t="s">
        <v>19</v>
      </c>
      <c r="C7" s="11" t="s">
        <v>82</v>
      </c>
      <c r="D7" s="11" t="s">
        <v>83</v>
      </c>
      <c r="E7" s="11" t="s">
        <v>84</v>
      </c>
      <c r="F7" s="11" t="s">
        <v>64</v>
      </c>
      <c r="G7" s="11" t="s">
        <v>65</v>
      </c>
      <c r="H7" s="10" t="s">
        <v>73</v>
      </c>
      <c r="I7" s="9" t="s">
        <v>51</v>
      </c>
      <c r="J7" s="11" t="s">
        <v>85</v>
      </c>
    </row>
    <row r="8" customFormat="false" ht="60" hidden="false" customHeight="true" outlineLevel="0" collapsed="false">
      <c r="A8" s="7" t="s">
        <v>86</v>
      </c>
      <c r="B8" s="8" t="s">
        <v>21</v>
      </c>
      <c r="C8" s="8" t="s">
        <v>87</v>
      </c>
      <c r="D8" s="8" t="s">
        <v>88</v>
      </c>
      <c r="E8" s="8" t="s">
        <v>89</v>
      </c>
      <c r="F8" s="8" t="s">
        <v>90</v>
      </c>
      <c r="G8" s="8" t="s">
        <v>91</v>
      </c>
      <c r="H8" s="7" t="s">
        <v>73</v>
      </c>
      <c r="I8" s="9" t="s">
        <v>51</v>
      </c>
      <c r="J8" s="8" t="s">
        <v>92</v>
      </c>
    </row>
    <row r="9" customFormat="false" ht="60" hidden="false" customHeight="true" outlineLevel="0" collapsed="false">
      <c r="A9" s="10" t="s">
        <v>93</v>
      </c>
      <c r="B9" s="11" t="s">
        <v>21</v>
      </c>
      <c r="C9" s="11" t="s">
        <v>94</v>
      </c>
      <c r="D9" s="11" t="s">
        <v>95</v>
      </c>
      <c r="E9" s="11" t="s">
        <v>96</v>
      </c>
      <c r="F9" s="11" t="s">
        <v>97</v>
      </c>
      <c r="G9" s="11" t="s">
        <v>98</v>
      </c>
      <c r="H9" s="10" t="s">
        <v>99</v>
      </c>
      <c r="I9" s="9" t="s">
        <v>51</v>
      </c>
      <c r="J9" s="11" t="s">
        <v>100</v>
      </c>
    </row>
    <row r="10" customFormat="false" ht="60" hidden="false" customHeight="true" outlineLevel="0" collapsed="false">
      <c r="A10" s="7" t="s">
        <v>101</v>
      </c>
      <c r="B10" s="8" t="s">
        <v>21</v>
      </c>
      <c r="C10" s="8" t="s">
        <v>102</v>
      </c>
      <c r="D10" s="8" t="s">
        <v>103</v>
      </c>
      <c r="E10" s="8" t="s">
        <v>56</v>
      </c>
      <c r="F10" s="8" t="s">
        <v>104</v>
      </c>
      <c r="G10" s="8" t="s">
        <v>105</v>
      </c>
      <c r="H10" s="7" t="s">
        <v>99</v>
      </c>
      <c r="I10" s="9" t="s">
        <v>51</v>
      </c>
      <c r="J10" s="8" t="s">
        <v>106</v>
      </c>
    </row>
    <row r="11" customFormat="false" ht="60" hidden="false" customHeight="true" outlineLevel="0" collapsed="false">
      <c r="A11" s="10" t="s">
        <v>107</v>
      </c>
      <c r="B11" s="11" t="s">
        <v>21</v>
      </c>
      <c r="C11" s="11" t="s">
        <v>108</v>
      </c>
      <c r="D11" s="11" t="s">
        <v>109</v>
      </c>
      <c r="E11" s="11" t="s">
        <v>110</v>
      </c>
      <c r="F11" s="11" t="s">
        <v>111</v>
      </c>
      <c r="G11" s="11" t="s">
        <v>112</v>
      </c>
      <c r="H11" s="10" t="s">
        <v>99</v>
      </c>
      <c r="I11" s="12" t="s">
        <v>113</v>
      </c>
      <c r="J11" s="11" t="s">
        <v>114</v>
      </c>
    </row>
    <row r="12" customFormat="false" ht="60" hidden="false" customHeight="true" outlineLevel="0" collapsed="false">
      <c r="A12" s="7" t="s">
        <v>115</v>
      </c>
      <c r="B12" s="8" t="s">
        <v>23</v>
      </c>
      <c r="C12" s="8" t="s">
        <v>116</v>
      </c>
      <c r="D12" s="8" t="s">
        <v>117</v>
      </c>
      <c r="E12" s="8" t="s">
        <v>47</v>
      </c>
      <c r="F12" s="8" t="s">
        <v>118</v>
      </c>
      <c r="G12" s="8" t="s">
        <v>119</v>
      </c>
      <c r="H12" s="7" t="s">
        <v>50</v>
      </c>
      <c r="I12" s="9" t="s">
        <v>51</v>
      </c>
      <c r="J12" s="8" t="s">
        <v>120</v>
      </c>
    </row>
    <row r="13" customFormat="false" ht="60" hidden="false" customHeight="true" outlineLevel="0" collapsed="false">
      <c r="A13" s="10" t="s">
        <v>121</v>
      </c>
      <c r="B13" s="11" t="s">
        <v>23</v>
      </c>
      <c r="C13" s="11" t="s">
        <v>122</v>
      </c>
      <c r="D13" s="11" t="s">
        <v>123</v>
      </c>
      <c r="E13" s="11" t="s">
        <v>47</v>
      </c>
      <c r="F13" s="11" t="s">
        <v>124</v>
      </c>
      <c r="G13" s="11" t="s">
        <v>125</v>
      </c>
      <c r="H13" s="10" t="s">
        <v>73</v>
      </c>
      <c r="I13" s="9" t="s">
        <v>51</v>
      </c>
      <c r="J13" s="11" t="s">
        <v>126</v>
      </c>
    </row>
    <row r="14" customFormat="false" ht="60" hidden="false" customHeight="true" outlineLevel="0" collapsed="false">
      <c r="A14" s="7" t="s">
        <v>127</v>
      </c>
      <c r="B14" s="8" t="s">
        <v>23</v>
      </c>
      <c r="C14" s="8" t="s">
        <v>128</v>
      </c>
      <c r="D14" s="8" t="s">
        <v>129</v>
      </c>
      <c r="E14" s="8" t="s">
        <v>47</v>
      </c>
      <c r="F14" s="8" t="s">
        <v>130</v>
      </c>
      <c r="G14" s="8" t="s">
        <v>131</v>
      </c>
      <c r="H14" s="7" t="s">
        <v>73</v>
      </c>
      <c r="I14" s="12" t="s">
        <v>113</v>
      </c>
      <c r="J14" s="8" t="s">
        <v>132</v>
      </c>
    </row>
    <row r="15" customFormat="false" ht="60" hidden="false" customHeight="true" outlineLevel="0" collapsed="false">
      <c r="A15" s="10" t="s">
        <v>133</v>
      </c>
      <c r="B15" s="11" t="s">
        <v>23</v>
      </c>
      <c r="C15" s="11" t="s">
        <v>134</v>
      </c>
      <c r="D15" s="11" t="s">
        <v>135</v>
      </c>
      <c r="E15" s="11" t="s">
        <v>136</v>
      </c>
      <c r="F15" s="11" t="s">
        <v>137</v>
      </c>
      <c r="G15" s="11" t="s">
        <v>138</v>
      </c>
      <c r="H15" s="10" t="s">
        <v>73</v>
      </c>
      <c r="I15" s="12" t="s">
        <v>113</v>
      </c>
      <c r="J15" s="11" t="s">
        <v>139</v>
      </c>
    </row>
    <row r="16" customFormat="false" ht="60" hidden="false" customHeight="true" outlineLevel="0" collapsed="false">
      <c r="A16" s="7" t="s">
        <v>140</v>
      </c>
      <c r="B16" s="8" t="s">
        <v>24</v>
      </c>
      <c r="C16" s="8" t="s">
        <v>141</v>
      </c>
      <c r="D16" s="8" t="s">
        <v>142</v>
      </c>
      <c r="E16" s="8" t="s">
        <v>143</v>
      </c>
      <c r="F16" s="8" t="s">
        <v>144</v>
      </c>
      <c r="G16" s="8" t="s">
        <v>145</v>
      </c>
      <c r="H16" s="7" t="s">
        <v>99</v>
      </c>
      <c r="I16" s="9" t="s">
        <v>51</v>
      </c>
      <c r="J16" s="8" t="s">
        <v>146</v>
      </c>
    </row>
    <row r="17" customFormat="false" ht="60" hidden="false" customHeight="true" outlineLevel="0" collapsed="false">
      <c r="A17" s="10" t="s">
        <v>147</v>
      </c>
      <c r="B17" s="11" t="s">
        <v>24</v>
      </c>
      <c r="C17" s="11" t="s">
        <v>148</v>
      </c>
      <c r="D17" s="11" t="s">
        <v>149</v>
      </c>
      <c r="E17" s="11" t="s">
        <v>150</v>
      </c>
      <c r="F17" s="11" t="s">
        <v>151</v>
      </c>
      <c r="G17" s="11" t="s">
        <v>152</v>
      </c>
      <c r="H17" s="10" t="s">
        <v>99</v>
      </c>
      <c r="I17" s="9" t="s">
        <v>51</v>
      </c>
      <c r="J17" s="11" t="s">
        <v>153</v>
      </c>
    </row>
    <row r="18" customFormat="false" ht="60" hidden="false" customHeight="true" outlineLevel="0" collapsed="false">
      <c r="A18" s="7" t="s">
        <v>154</v>
      </c>
      <c r="B18" s="8" t="s">
        <v>24</v>
      </c>
      <c r="C18" s="8" t="s">
        <v>155</v>
      </c>
      <c r="D18" s="8" t="s">
        <v>156</v>
      </c>
      <c r="E18" s="8" t="s">
        <v>157</v>
      </c>
      <c r="F18" s="8" t="s">
        <v>158</v>
      </c>
      <c r="G18" s="8" t="s">
        <v>159</v>
      </c>
      <c r="H18" s="7" t="s">
        <v>99</v>
      </c>
      <c r="I18" s="9" t="s">
        <v>51</v>
      </c>
      <c r="J18" s="8" t="s">
        <v>160</v>
      </c>
    </row>
    <row r="19" customFormat="false" ht="60" hidden="false" customHeight="true" outlineLevel="0" collapsed="false">
      <c r="A19" s="10" t="s">
        <v>161</v>
      </c>
      <c r="B19" s="11" t="s">
        <v>26</v>
      </c>
      <c r="C19" s="11" t="s">
        <v>162</v>
      </c>
      <c r="D19" s="11" t="s">
        <v>163</v>
      </c>
      <c r="E19" s="11" t="s">
        <v>164</v>
      </c>
      <c r="F19" s="11" t="s">
        <v>165</v>
      </c>
      <c r="G19" s="11" t="s">
        <v>166</v>
      </c>
      <c r="H19" s="10" t="s">
        <v>50</v>
      </c>
      <c r="I19" s="9" t="s">
        <v>51</v>
      </c>
      <c r="J19" s="11" t="s">
        <v>167</v>
      </c>
    </row>
    <row r="20" customFormat="false" ht="60" hidden="false" customHeight="true" outlineLevel="0" collapsed="false">
      <c r="A20" s="7" t="s">
        <v>168</v>
      </c>
      <c r="B20" s="8" t="s">
        <v>26</v>
      </c>
      <c r="C20" s="8" t="s">
        <v>169</v>
      </c>
      <c r="D20" s="8" t="s">
        <v>170</v>
      </c>
      <c r="E20" s="8" t="s">
        <v>171</v>
      </c>
      <c r="F20" s="8" t="s">
        <v>172</v>
      </c>
      <c r="G20" s="8" t="s">
        <v>173</v>
      </c>
      <c r="H20" s="7" t="s">
        <v>50</v>
      </c>
      <c r="I20" s="9" t="s">
        <v>51</v>
      </c>
      <c r="J20" s="8" t="s">
        <v>174</v>
      </c>
    </row>
    <row r="21" customFormat="false" ht="60" hidden="false" customHeight="true" outlineLevel="0" collapsed="false">
      <c r="A21" s="10" t="s">
        <v>175</v>
      </c>
      <c r="B21" s="11" t="s">
        <v>26</v>
      </c>
      <c r="C21" s="11" t="s">
        <v>176</v>
      </c>
      <c r="D21" s="11" t="s">
        <v>177</v>
      </c>
      <c r="E21" s="11" t="s">
        <v>178</v>
      </c>
      <c r="F21" s="11" t="s">
        <v>179</v>
      </c>
      <c r="G21" s="11" t="s">
        <v>180</v>
      </c>
      <c r="H21" s="10" t="s">
        <v>73</v>
      </c>
      <c r="I21" s="9" t="s">
        <v>51</v>
      </c>
      <c r="J21" s="11" t="s">
        <v>181</v>
      </c>
    </row>
    <row r="22" customFormat="false" ht="60" hidden="false" customHeight="true" outlineLevel="0" collapsed="false">
      <c r="A22" s="7" t="s">
        <v>182</v>
      </c>
      <c r="B22" s="8" t="s">
        <v>26</v>
      </c>
      <c r="C22" s="8" t="s">
        <v>183</v>
      </c>
      <c r="D22" s="8" t="s">
        <v>184</v>
      </c>
      <c r="E22" s="8" t="s">
        <v>185</v>
      </c>
      <c r="F22" s="8" t="s">
        <v>186</v>
      </c>
      <c r="G22" s="8" t="s">
        <v>187</v>
      </c>
      <c r="H22" s="7" t="s">
        <v>73</v>
      </c>
      <c r="I22" s="9" t="s">
        <v>51</v>
      </c>
      <c r="J22" s="8" t="s">
        <v>188</v>
      </c>
    </row>
    <row r="23" customFormat="false" ht="60" hidden="false" customHeight="true" outlineLevel="0" collapsed="false">
      <c r="A23" s="10" t="s">
        <v>189</v>
      </c>
      <c r="B23" s="11" t="s">
        <v>26</v>
      </c>
      <c r="C23" s="11" t="s">
        <v>190</v>
      </c>
      <c r="D23" s="11" t="s">
        <v>191</v>
      </c>
      <c r="E23" s="11" t="s">
        <v>192</v>
      </c>
      <c r="F23" s="11" t="s">
        <v>193</v>
      </c>
      <c r="G23" s="11" t="s">
        <v>194</v>
      </c>
      <c r="H23" s="10" t="s">
        <v>99</v>
      </c>
      <c r="I23" s="9" t="s">
        <v>51</v>
      </c>
      <c r="J23" s="11" t="s">
        <v>195</v>
      </c>
    </row>
    <row r="24" customFormat="false" ht="60" hidden="false" customHeight="true" outlineLevel="0" collapsed="false">
      <c r="A24" s="7" t="s">
        <v>196</v>
      </c>
      <c r="B24" s="8" t="s">
        <v>28</v>
      </c>
      <c r="C24" s="8" t="s">
        <v>197</v>
      </c>
      <c r="D24" s="8" t="s">
        <v>198</v>
      </c>
      <c r="E24" s="8" t="s">
        <v>89</v>
      </c>
      <c r="F24" s="8" t="s">
        <v>199</v>
      </c>
      <c r="G24" s="8" t="s">
        <v>200</v>
      </c>
      <c r="H24" s="7" t="s">
        <v>99</v>
      </c>
      <c r="I24" s="9" t="s">
        <v>51</v>
      </c>
      <c r="J24" s="8" t="s">
        <v>201</v>
      </c>
    </row>
    <row r="25" customFormat="false" ht="60" hidden="false" customHeight="true" outlineLevel="0" collapsed="false">
      <c r="A25" s="10" t="s">
        <v>202</v>
      </c>
      <c r="B25" s="11" t="s">
        <v>28</v>
      </c>
      <c r="C25" s="11" t="s">
        <v>203</v>
      </c>
      <c r="D25" s="11" t="s">
        <v>204</v>
      </c>
      <c r="E25" s="11" t="s">
        <v>47</v>
      </c>
      <c r="F25" s="11" t="s">
        <v>205</v>
      </c>
      <c r="G25" s="11" t="s">
        <v>206</v>
      </c>
      <c r="H25" s="10" t="s">
        <v>99</v>
      </c>
      <c r="I25" s="9" t="s">
        <v>51</v>
      </c>
      <c r="J25" s="11" t="s">
        <v>207</v>
      </c>
    </row>
    <row r="26" customFormat="false" ht="60" hidden="false" customHeight="true" outlineLevel="0" collapsed="false">
      <c r="A26" s="7" t="s">
        <v>208</v>
      </c>
      <c r="B26" s="8" t="s">
        <v>28</v>
      </c>
      <c r="C26" s="8" t="s">
        <v>209</v>
      </c>
      <c r="D26" s="8" t="s">
        <v>210</v>
      </c>
      <c r="E26" s="8" t="s">
        <v>56</v>
      </c>
      <c r="F26" s="8" t="s">
        <v>211</v>
      </c>
      <c r="G26" s="8" t="s">
        <v>212</v>
      </c>
      <c r="H26" s="7" t="s">
        <v>99</v>
      </c>
      <c r="I26" s="9" t="s">
        <v>51</v>
      </c>
      <c r="J26" s="8" t="s">
        <v>213</v>
      </c>
    </row>
    <row r="27" customFormat="false" ht="60" hidden="false" customHeight="true" outlineLevel="0" collapsed="false">
      <c r="A27" s="10" t="s">
        <v>214</v>
      </c>
      <c r="B27" s="11" t="s">
        <v>29</v>
      </c>
      <c r="C27" s="11" t="s">
        <v>215</v>
      </c>
      <c r="D27" s="11" t="s">
        <v>216</v>
      </c>
      <c r="E27" s="11" t="s">
        <v>217</v>
      </c>
      <c r="F27" s="11" t="s">
        <v>218</v>
      </c>
      <c r="G27" s="11" t="s">
        <v>219</v>
      </c>
      <c r="H27" s="10" t="s">
        <v>73</v>
      </c>
      <c r="I27" s="9" t="s">
        <v>51</v>
      </c>
      <c r="J27" s="11" t="s">
        <v>220</v>
      </c>
    </row>
    <row r="28" customFormat="false" ht="60" hidden="false" customHeight="true" outlineLevel="0" collapsed="false">
      <c r="A28" s="7" t="s">
        <v>221</v>
      </c>
      <c r="B28" s="8" t="s">
        <v>29</v>
      </c>
      <c r="C28" s="8" t="s">
        <v>222</v>
      </c>
      <c r="D28" s="8" t="s">
        <v>223</v>
      </c>
      <c r="E28" s="8" t="s">
        <v>224</v>
      </c>
      <c r="F28" s="8" t="s">
        <v>218</v>
      </c>
      <c r="G28" s="8" t="s">
        <v>219</v>
      </c>
      <c r="H28" s="7" t="s">
        <v>73</v>
      </c>
      <c r="I28" s="9" t="s">
        <v>51</v>
      </c>
      <c r="J28" s="8" t="s">
        <v>225</v>
      </c>
    </row>
    <row r="29" customFormat="false" ht="60" hidden="false" customHeight="true" outlineLevel="0" collapsed="false">
      <c r="A29" s="10" t="s">
        <v>226</v>
      </c>
      <c r="B29" s="11" t="s">
        <v>29</v>
      </c>
      <c r="C29" s="11" t="s">
        <v>227</v>
      </c>
      <c r="D29" s="11" t="s">
        <v>228</v>
      </c>
      <c r="E29" s="11" t="s">
        <v>229</v>
      </c>
      <c r="F29" s="11" t="s">
        <v>218</v>
      </c>
      <c r="G29" s="11" t="s">
        <v>219</v>
      </c>
      <c r="H29" s="10" t="s">
        <v>73</v>
      </c>
      <c r="I29" s="9" t="s">
        <v>51</v>
      </c>
      <c r="J29" s="11" t="s">
        <v>230</v>
      </c>
    </row>
    <row r="30" customFormat="false" ht="60" hidden="false" customHeight="true" outlineLevel="0" collapsed="false">
      <c r="A30" s="7" t="s">
        <v>231</v>
      </c>
      <c r="B30" s="8" t="s">
        <v>30</v>
      </c>
      <c r="C30" s="8" t="s">
        <v>232</v>
      </c>
      <c r="D30" s="8" t="s">
        <v>233</v>
      </c>
      <c r="E30" s="8" t="s">
        <v>234</v>
      </c>
      <c r="F30" s="8" t="s">
        <v>235</v>
      </c>
      <c r="G30" s="8" t="s">
        <v>236</v>
      </c>
      <c r="H30" s="7" t="s">
        <v>73</v>
      </c>
      <c r="I30" s="9" t="s">
        <v>51</v>
      </c>
      <c r="J30" s="8" t="s">
        <v>237</v>
      </c>
    </row>
    <row r="31" customFormat="false" ht="60" hidden="false" customHeight="true" outlineLevel="0" collapsed="false">
      <c r="A31" s="10" t="s">
        <v>238</v>
      </c>
      <c r="B31" s="11" t="s">
        <v>30</v>
      </c>
      <c r="C31" s="11" t="s">
        <v>239</v>
      </c>
      <c r="D31" s="11" t="s">
        <v>240</v>
      </c>
      <c r="E31" s="11" t="s">
        <v>241</v>
      </c>
      <c r="F31" s="11" t="s">
        <v>242</v>
      </c>
      <c r="G31" s="11" t="s">
        <v>243</v>
      </c>
      <c r="H31" s="10" t="s">
        <v>73</v>
      </c>
      <c r="I31" s="9" t="s">
        <v>51</v>
      </c>
      <c r="J31" s="11" t="s">
        <v>244</v>
      </c>
    </row>
    <row r="32" customFormat="false" ht="60" hidden="false" customHeight="true" outlineLevel="0" collapsed="false">
      <c r="A32" s="7" t="s">
        <v>245</v>
      </c>
      <c r="B32" s="8" t="s">
        <v>30</v>
      </c>
      <c r="C32" s="8" t="s">
        <v>246</v>
      </c>
      <c r="D32" s="8" t="s">
        <v>247</v>
      </c>
      <c r="E32" s="8" t="s">
        <v>248</v>
      </c>
      <c r="F32" s="8" t="s">
        <v>249</v>
      </c>
      <c r="G32" s="8" t="s">
        <v>250</v>
      </c>
      <c r="H32" s="7" t="s">
        <v>99</v>
      </c>
      <c r="I32" s="9" t="s">
        <v>51</v>
      </c>
      <c r="J32" s="8" t="s">
        <v>251</v>
      </c>
    </row>
    <row r="33" customFormat="false" ht="60" hidden="false" customHeight="true" outlineLevel="0" collapsed="false">
      <c r="A33" s="10" t="s">
        <v>252</v>
      </c>
      <c r="B33" s="11" t="s">
        <v>31</v>
      </c>
      <c r="C33" s="11" t="s">
        <v>253</v>
      </c>
      <c r="D33" s="11" t="s">
        <v>254</v>
      </c>
      <c r="E33" s="11" t="s">
        <v>96</v>
      </c>
      <c r="F33" s="11" t="s">
        <v>255</v>
      </c>
      <c r="G33" s="11" t="s">
        <v>256</v>
      </c>
      <c r="H33" s="10" t="s">
        <v>73</v>
      </c>
      <c r="I33" s="9" t="s">
        <v>51</v>
      </c>
      <c r="J33" s="11" t="s">
        <v>257</v>
      </c>
    </row>
    <row r="34" customFormat="false" ht="60" hidden="false" customHeight="true" outlineLevel="0" collapsed="false">
      <c r="A34" s="7" t="s">
        <v>258</v>
      </c>
      <c r="B34" s="8" t="s">
        <v>31</v>
      </c>
      <c r="C34" s="8" t="s">
        <v>259</v>
      </c>
      <c r="D34" s="8" t="s">
        <v>260</v>
      </c>
      <c r="E34" s="8" t="s">
        <v>261</v>
      </c>
      <c r="F34" s="8" t="s">
        <v>262</v>
      </c>
      <c r="G34" s="8" t="s">
        <v>263</v>
      </c>
      <c r="H34" s="7" t="s">
        <v>73</v>
      </c>
      <c r="I34" s="12" t="s">
        <v>113</v>
      </c>
      <c r="J34" s="8" t="s">
        <v>264</v>
      </c>
    </row>
    <row r="35" customFormat="false" ht="60" hidden="false" customHeight="true" outlineLevel="0" collapsed="false">
      <c r="A35" s="10" t="s">
        <v>265</v>
      </c>
      <c r="B35" s="11" t="s">
        <v>33</v>
      </c>
      <c r="C35" s="11" t="s">
        <v>266</v>
      </c>
      <c r="D35" s="11" t="s">
        <v>267</v>
      </c>
      <c r="E35" s="11" t="s">
        <v>268</v>
      </c>
      <c r="F35" s="11" t="s">
        <v>269</v>
      </c>
      <c r="G35" s="11" t="s">
        <v>270</v>
      </c>
      <c r="H35" s="10" t="s">
        <v>73</v>
      </c>
      <c r="I35" s="12" t="s">
        <v>113</v>
      </c>
      <c r="J35" s="11" t="s">
        <v>271</v>
      </c>
    </row>
    <row r="36" customFormat="false" ht="60" hidden="false" customHeight="true" outlineLevel="0" collapsed="false">
      <c r="A36" s="7" t="s">
        <v>272</v>
      </c>
      <c r="B36" s="8" t="s">
        <v>33</v>
      </c>
      <c r="C36" s="8" t="s">
        <v>273</v>
      </c>
      <c r="D36" s="8" t="s">
        <v>274</v>
      </c>
      <c r="E36" s="8" t="s">
        <v>275</v>
      </c>
      <c r="F36" s="8" t="s">
        <v>276</v>
      </c>
      <c r="G36" s="8" t="s">
        <v>277</v>
      </c>
      <c r="H36" s="7" t="s">
        <v>99</v>
      </c>
      <c r="I36" s="9" t="s">
        <v>51</v>
      </c>
      <c r="J36" s="8" t="s">
        <v>278</v>
      </c>
    </row>
  </sheetData>
  <autoFilter ref="A1:J36"/>
  <dataValidations count="1">
    <dataValidation allowBlank="false" errorStyle="stop" operator="between" showDropDown="false" showErrorMessage="false" showInputMessage="false" sqref="I2:I36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3" t="s">
        <v>279</v>
      </c>
      <c r="B1" s="13"/>
      <c r="C1" s="13"/>
      <c r="D1" s="13"/>
    </row>
    <row r="3" customFormat="false" ht="15" hidden="false" customHeight="false" outlineLevel="0" collapsed="false">
      <c r="A3" s="14" t="s">
        <v>16</v>
      </c>
      <c r="B3" s="15" t="n">
        <f aca="false">COUNTA('Test Cases'!A2:A36)</f>
        <v>35</v>
      </c>
    </row>
    <row r="4" customFormat="false" ht="15" hidden="false" customHeight="false" outlineLevel="0" collapsed="false">
      <c r="A4" s="14" t="s">
        <v>280</v>
      </c>
      <c r="B4" s="15" t="n">
        <f aca="false">COUNTIF('Test Cases'!I2:I36,"Pass")</f>
        <v>30</v>
      </c>
    </row>
    <row r="5" customFormat="false" ht="15" hidden="false" customHeight="false" outlineLevel="0" collapsed="false">
      <c r="A5" s="14" t="s">
        <v>281</v>
      </c>
      <c r="B5" s="15" t="n">
        <f aca="false">COUNTIF('Test Cases'!I2:I36,"Fail")</f>
        <v>5</v>
      </c>
    </row>
    <row r="6" customFormat="false" ht="15" hidden="false" customHeight="false" outlineLevel="0" collapsed="false">
      <c r="A6" s="14" t="s">
        <v>282</v>
      </c>
      <c r="B6" s="15" t="str">
        <f aca="false">ROUND(COUNTIF('Test Cases'!I2:I36,"Pass")/COUNTA('Test Cases'!A2:A36)*100,2)&amp;"%"</f>
        <v>85.71%</v>
      </c>
    </row>
    <row r="8" customFormat="false" ht="15" hidden="false" customHeight="false" outlineLevel="0" collapsed="false">
      <c r="A8" s="4" t="s">
        <v>283</v>
      </c>
      <c r="B8" s="4"/>
      <c r="C8" s="4"/>
      <c r="D8" s="4"/>
    </row>
    <row r="9" customFormat="false" ht="15" hidden="false" customHeight="false" outlineLevel="0" collapsed="false">
      <c r="A9" s="16" t="s">
        <v>35</v>
      </c>
      <c r="B9" s="16" t="s">
        <v>284</v>
      </c>
      <c r="C9" s="16" t="s">
        <v>280</v>
      </c>
      <c r="D9" s="16" t="s">
        <v>281</v>
      </c>
    </row>
    <row r="10" customFormat="false" ht="15" hidden="false" customHeight="false" outlineLevel="0" collapsed="false">
      <c r="A10" s="5" t="s">
        <v>19</v>
      </c>
      <c r="B10" s="17" t="n">
        <f aca="false">COUNTIF('Test Cases'!B2:B36,A10)</f>
        <v>6</v>
      </c>
      <c r="C10" s="17" t="n">
        <f aca="false">COUNTIFS('Test Cases'!B2:B36,A10,'Test Cases'!I2:I36,"Pass")</f>
        <v>6</v>
      </c>
      <c r="D10" s="17" t="n">
        <f aca="false">COUNTIFS('Test Cases'!B2:B36,A10,'Test Cases'!I2:I36,"Fail")</f>
        <v>0</v>
      </c>
    </row>
    <row r="11" customFormat="false" ht="15" hidden="false" customHeight="false" outlineLevel="0" collapsed="false">
      <c r="A11" s="5" t="s">
        <v>21</v>
      </c>
      <c r="B11" s="17" t="n">
        <f aca="false">COUNTIF('Test Cases'!B2:B36,A11)</f>
        <v>4</v>
      </c>
      <c r="C11" s="17" t="n">
        <f aca="false">COUNTIFS('Test Cases'!B2:B36,A11,'Test Cases'!I2:I36,"Pass")</f>
        <v>3</v>
      </c>
      <c r="D11" s="17" t="n">
        <f aca="false">COUNTIFS('Test Cases'!B2:B36,A11,'Test Cases'!I2:I36,"Fail")</f>
        <v>1</v>
      </c>
    </row>
    <row r="12" customFormat="false" ht="15" hidden="false" customHeight="false" outlineLevel="0" collapsed="false">
      <c r="A12" s="5" t="s">
        <v>23</v>
      </c>
      <c r="B12" s="17" t="n">
        <f aca="false">COUNTIF('Test Cases'!B2:B36,A12)</f>
        <v>4</v>
      </c>
      <c r="C12" s="17" t="n">
        <f aca="false">COUNTIFS('Test Cases'!B2:B36,A12,'Test Cases'!I2:I36,"Pass")</f>
        <v>2</v>
      </c>
      <c r="D12" s="17" t="n">
        <f aca="false">COUNTIFS('Test Cases'!B2:B36,A12,'Test Cases'!I2:I36,"Fail")</f>
        <v>2</v>
      </c>
    </row>
    <row r="13" customFormat="false" ht="15" hidden="false" customHeight="false" outlineLevel="0" collapsed="false">
      <c r="A13" s="5" t="s">
        <v>24</v>
      </c>
      <c r="B13" s="17" t="n">
        <f aca="false">COUNTIF('Test Cases'!B2:B36,A13)</f>
        <v>3</v>
      </c>
      <c r="C13" s="17" t="n">
        <f aca="false">COUNTIFS('Test Cases'!B2:B36,A13,'Test Cases'!I2:I36,"Pass")</f>
        <v>3</v>
      </c>
      <c r="D13" s="17" t="n">
        <f aca="false">COUNTIFS('Test Cases'!B2:B36,A13,'Test Cases'!I2:I36,"Fail")</f>
        <v>0</v>
      </c>
    </row>
    <row r="14" customFormat="false" ht="15" hidden="false" customHeight="false" outlineLevel="0" collapsed="false">
      <c r="A14" s="5" t="s">
        <v>26</v>
      </c>
      <c r="B14" s="17" t="n">
        <f aca="false">COUNTIF('Test Cases'!B2:B36,A14)</f>
        <v>5</v>
      </c>
      <c r="C14" s="17" t="n">
        <f aca="false">COUNTIFS('Test Cases'!B2:B36,A14,'Test Cases'!I2:I36,"Pass")</f>
        <v>5</v>
      </c>
      <c r="D14" s="17" t="n">
        <f aca="false">COUNTIFS('Test Cases'!B2:B36,A14,'Test Cases'!I2:I36,"Fail")</f>
        <v>0</v>
      </c>
    </row>
    <row r="15" customFormat="false" ht="15" hidden="false" customHeight="false" outlineLevel="0" collapsed="false">
      <c r="A15" s="5" t="s">
        <v>28</v>
      </c>
      <c r="B15" s="17" t="n">
        <f aca="false">COUNTIF('Test Cases'!B2:B36,A15)</f>
        <v>3</v>
      </c>
      <c r="C15" s="17" t="n">
        <f aca="false">COUNTIFS('Test Cases'!B2:B36,A15,'Test Cases'!I2:I36,"Pass")</f>
        <v>3</v>
      </c>
      <c r="D15" s="17" t="n">
        <f aca="false">COUNTIFS('Test Cases'!B2:B36,A15,'Test Cases'!I2:I36,"Fail")</f>
        <v>0</v>
      </c>
    </row>
    <row r="16" customFormat="false" ht="15" hidden="false" customHeight="false" outlineLevel="0" collapsed="false">
      <c r="A16" s="5" t="s">
        <v>29</v>
      </c>
      <c r="B16" s="17" t="n">
        <f aca="false">COUNTIF('Test Cases'!B2:B36,A16)</f>
        <v>3</v>
      </c>
      <c r="C16" s="17" t="n">
        <f aca="false">COUNTIFS('Test Cases'!B2:B36,A16,'Test Cases'!I2:I36,"Pass")</f>
        <v>3</v>
      </c>
      <c r="D16" s="17" t="n">
        <f aca="false">COUNTIFS('Test Cases'!B2:B36,A16,'Test Cases'!I2:I36,"Fail")</f>
        <v>0</v>
      </c>
    </row>
    <row r="17" customFormat="false" ht="15" hidden="false" customHeight="false" outlineLevel="0" collapsed="false">
      <c r="A17" s="5" t="s">
        <v>30</v>
      </c>
      <c r="B17" s="17" t="n">
        <f aca="false">COUNTIF('Test Cases'!B2:B36,A17)</f>
        <v>3</v>
      </c>
      <c r="C17" s="17" t="n">
        <f aca="false">COUNTIFS('Test Cases'!B2:B36,A17,'Test Cases'!I2:I36,"Pass")</f>
        <v>3</v>
      </c>
      <c r="D17" s="17" t="n">
        <f aca="false">COUNTIFS('Test Cases'!B2:B36,A17,'Test Cases'!I2:I36,"Fail")</f>
        <v>0</v>
      </c>
    </row>
    <row r="18" customFormat="false" ht="15" hidden="false" customHeight="false" outlineLevel="0" collapsed="false">
      <c r="A18" s="5" t="s">
        <v>31</v>
      </c>
      <c r="B18" s="17" t="n">
        <f aca="false">COUNTIF('Test Cases'!B2:B36,A18)</f>
        <v>2</v>
      </c>
      <c r="C18" s="17" t="n">
        <f aca="false">COUNTIFS('Test Cases'!B2:B36,A18,'Test Cases'!I2:I36,"Pass")</f>
        <v>1</v>
      </c>
      <c r="D18" s="17" t="n">
        <f aca="false">COUNTIFS('Test Cases'!B2:B36,A18,'Test Cases'!I2:I36,"Fail")</f>
        <v>1</v>
      </c>
    </row>
    <row r="19" customFormat="false" ht="15" hidden="false" customHeight="false" outlineLevel="0" collapsed="false">
      <c r="A19" s="5" t="s">
        <v>33</v>
      </c>
      <c r="B19" s="17" t="n">
        <f aca="false">COUNTIF('Test Cases'!B2:B36,A19)</f>
        <v>2</v>
      </c>
      <c r="C19" s="17" t="n">
        <f aca="false">COUNTIFS('Test Cases'!B2:B36,A19,'Test Cases'!I2:I36,"Pass")</f>
        <v>1</v>
      </c>
      <c r="D19" s="17" t="n">
        <f aca="false">COUNTIFS('Test Cases'!B2:B36,A19,'Test Cases'!I2:I36,"Fail")</f>
        <v>1</v>
      </c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2026-08-03T05:16:39Z</dcterms:created>
  <dc:creator>openpyxl</dc:creator>
  <dc:description/>
  <dc:language>en-US</dc:language>
  <cp:lastModifiedBy/>
  <dcterms:modified xsi:type="dcterms:W3CDTF">2026-08-03T05:16:39Z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