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T\T-1\"/>
    </mc:Choice>
  </mc:AlternateContent>
  <xr:revisionPtr revIDLastSave="0" documentId="13_ncr:1_{6DC0AEF6-7358-44EA-9C36-AD4B0902B31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Login Page Test Ca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1" l="1"/>
  <c r="B42" i="1"/>
  <c r="B44" i="1" s="1"/>
  <c r="B41" i="1"/>
</calcChain>
</file>

<file path=xl/sharedStrings.xml><?xml version="1.0" encoding="utf-8"?>
<sst xmlns="http://schemas.openxmlformats.org/spreadsheetml/2006/main" count="243" uniqueCount="173">
  <si>
    <t>Module Name: Login Page - Functional &amp; UI Test Cases</t>
  </si>
  <si>
    <t>Test Case ID: st_01</t>
  </si>
  <si>
    <t>Tester Name: Not specified in source</t>
  </si>
  <si>
    <t>Test Case Description:</t>
  </si>
  <si>
    <t>To validate the functionality of the Login Page module (Sign Up, Log In, Logout, and related UI checks) on https://www.instagram.com, covering positive and negative scenarios as documented under Test Case ID st_01.</t>
  </si>
  <si>
    <t>Prerequisites:</t>
  </si>
  <si>
    <t>Not specified in source</t>
  </si>
  <si>
    <t>Environment Information:</t>
  </si>
  <si>
    <t>OS: Not specified in source   System: Not specified in source   Webpage URL: https://www.instagram.com</t>
  </si>
  <si>
    <t>Devices observed in screenshots: Desktop browser and Mobile (Chrome browser)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</si>
  <si>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</si>
  <si>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</si>
  <si>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</si>
  <si>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</si>
  <si>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</si>
  <si>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</si>
  <si>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</si>
  <si>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</si>
  <si>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</si>
  <si>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Sign up with valid credentials</t>
  </si>
  <si>
    <t>1. Click on Sign Up
2. Enter Email
3. Enter Full Name
4. Enter Username
5. Enter Password
6. Click on Sign Up</t>
  </si>
  <si>
    <t>Email: softtest1144@gmail.com, Full Name: Tester, Username: Tester_1144, Password</t>
  </si>
  <si>
    <t>Signup flow proceeded through Add Birthday, verification (captcha), and confirmation code steps; user reached the home feed / "Find friends" screen</t>
  </si>
  <si>
    <t>Pass</t>
  </si>
  <si>
    <t>Covers positive sign-up flow with valid credentials</t>
  </si>
  <si>
    <t>1b</t>
  </si>
  <si>
    <t>Sign up using already registered email</t>
  </si>
  <si>
    <t>1. Click on Sign Up
2. Enter existing Email
3. Fill all fields
4. Click on Sign Up</t>
  </si>
  <si>
    <t>Existing/registered Email, other fields filled</t>
  </si>
  <si>
    <t>Should show error that email is already in use</t>
  </si>
  <si>
    <t>Account was created successfully</t>
  </si>
  <si>
    <t>Fail</t>
  </si>
  <si>
    <t>Bug BUG-1b: Instagram allowed duplicate email account creation; needs deeper validation check</t>
  </si>
  <si>
    <t>1c</t>
  </si>
  <si>
    <t>Sign up with invalid username</t>
  </si>
  <si>
    <t>1. Click on Sign Up
2. Enter Username with special characters or spaces
3. Fill other fields
4. Click on Sign Up</t>
  </si>
  <si>
    <t>Username: tester#33 (special character)</t>
  </si>
  <si>
    <t>Error displayed: "Usernames can only use letters, numbers, underscores and periods."; sign-up blocked</t>
  </si>
  <si>
    <t>Username format validation working</t>
  </si>
  <si>
    <t>1d</t>
  </si>
  <si>
    <t>Sign up with only whitespace inputs</t>
  </si>
  <si>
    <t>1. Click on Sign Up
2. Enter space characters in required fields
3. Click on Sign Up</t>
  </si>
  <si>
    <t>Whitespace/space characters in Mobile Number/Email and Username fields</t>
  </si>
  <si>
    <t>Errors displayed: "Looks like your phone number may be incorrect..." and "Usernames can only use letters, numbers, underscores and periods."</t>
  </si>
  <si>
    <t>Whitespace-only input correctly rejected</t>
  </si>
  <si>
    <t>1e</t>
  </si>
  <si>
    <t>Sign up with weak password</t>
  </si>
  <si>
    <t>1. Click on Sign Up
2. Enter valid Email, Name, and Username
3. Enter weak Password
4. Click on Sign Up</t>
  </si>
  <si>
    <t>Weak password (4 characters)</t>
  </si>
  <si>
    <t>Error displayed: "Create a password at least 8 characters long."</t>
  </si>
  <si>
    <t>Validates password strength check</t>
  </si>
  <si>
    <t>1f</t>
  </si>
  <si>
    <t>Check password visibility toggle</t>
  </si>
  <si>
    <t>1. Click on Sign Up
2. Enter Password
3. Click on eye icon beside password field</t>
  </si>
  <si>
    <t>Password: chews0By33</t>
  </si>
  <si>
    <t>Password became visible in plaintext; toggle label changed to "Hide"</t>
  </si>
  <si>
    <t>Usability check for password input</t>
  </si>
  <si>
    <t>1g</t>
  </si>
  <si>
    <t>Check responsive layout of sign up form</t>
  </si>
  <si>
    <t>1. Open Sign Up page
2. Resize browser window or open on mobile</t>
  </si>
  <si>
    <t>Mobile view ("What's your mobile number?" / "Sign up with email") rendered correctly on mobile viewport</t>
  </si>
  <si>
    <t>UI responsiveness test</t>
  </si>
  <si>
    <t>1h</t>
  </si>
  <si>
    <t>Sign up with international phone number</t>
  </si>
  <si>
    <t>1. Click on Sign Up
2. Enter phone number with country code
3. Fill other fields
4. Click on Sign Up</t>
  </si>
  <si>
    <t>Phone number: +1 415 555 2671</t>
  </si>
  <si>
    <t>Phone number accepted with no error shown; other fields filled successfully</t>
  </si>
  <si>
    <t>Tests international number support</t>
  </si>
  <si>
    <t>2a</t>
  </si>
  <si>
    <t>Login with valid credentials</t>
  </si>
  <si>
    <t>1. Click on Log In
2. Enter valid Username and Password
3. Click Log In</t>
  </si>
  <si>
    <t>Email: softtest1144@gmail.com, Password</t>
  </si>
  <si>
    <t>Login succeeded; "Save your login info?" prompt shown</t>
  </si>
  <si>
    <t>Main login flow</t>
  </si>
  <si>
    <t>2b</t>
  </si>
  <si>
    <t>Login with wrong password</t>
  </si>
  <si>
    <t>1. Click on Log In
2. Enter valid username and wrong password
3. Click Log In</t>
  </si>
  <si>
    <t>Valid username, wrong password</t>
  </si>
  <si>
    <t>Error displayed: "Sorry, your password was incorrect. Please double-check your password."</t>
  </si>
  <si>
    <t>Password validation</t>
  </si>
  <si>
    <t>2c</t>
  </si>
  <si>
    <t>Try login with empty fields</t>
  </si>
  <si>
    <t>1. Click on Log In
2. Leave username and/or password blank
3. Click Log In</t>
  </si>
  <si>
    <t>Blank username/password</t>
  </si>
  <si>
    <t>Login form remained empty/unsubmitted with blank fields</t>
  </si>
  <si>
    <t>-</t>
  </si>
  <si>
    <t>2d</t>
  </si>
  <si>
    <t>Login with case changes in email, username, or password</t>
  </si>
  <si>
    <t>1. Click on Log In
2. Enter email/username/password with altered letter casing
3. Click Log In</t>
  </si>
  <si>
    <t>Email: SoftTest1144@gmail... (altered case); Username: sdter1144 (altered case)</t>
  </si>
  <si>
    <t>Altered-case email attempt showed no error; a subsequent altered-case attempt returned: "Sorry, your password was incorrect. Please double-check your password."</t>
  </si>
  <si>
    <t>2e</t>
  </si>
  <si>
    <t>Forgot password flow</t>
  </si>
  <si>
    <t>1. Click on Log In
2. Click on "Forgot Password?"
3. Enter email/username
4. Follow reset steps</t>
  </si>
  <si>
    <t>Email: softtest1144@gmail.com</t>
  </si>
  <si>
    <t>"Trouble logging in?" screen shown; reset email received with "Log in as tester_1144" / "Reset your password" options; password changed and user reached home feed</t>
  </si>
  <si>
    <t>Forgot password flow completed successfully</t>
  </si>
  <si>
    <t>2f</t>
  </si>
  <si>
    <t>Check login field visibility on mobile</t>
  </si>
  <si>
    <t>1. Open login page on mobile device</t>
  </si>
  <si>
    <t>Username/email and Password fields, Log in button, Forgot password link, and Create new account button clearly visible on mobile</t>
  </si>
  <si>
    <t>UI responsive on small screens</t>
  </si>
  <si>
    <t>2g</t>
  </si>
  <si>
    <t>Login using “Log in with Facebook”</t>
  </si>
  <si>
    <t>1. Click on 'Log in with Facebook' or 'Log in with Google'
2. Select or enter account details if prompted
3. Grant permissions if needed</t>
  </si>
  <si>
    <t>Facebook account: softtest1144@gmail.com</t>
  </si>
  <si>
    <t>Facebook login form completed; Instagram permission screen ("Allow and continue") displayed</t>
  </si>
  <si>
    <t>Login with Facebook completed</t>
  </si>
  <si>
    <t>2h</t>
  </si>
  <si>
    <t>Login rate limit test</t>
  </si>
  <si>
    <t>1. Enter a valid username
2. Enter a wrong password
3. Click on Log In
4. Repeat steps 3–4 20+ times</t>
  </si>
  <si>
    <t>Valid username + wrong password (repeated 20+ times)</t>
  </si>
  <si>
    <t>Error like “Too many attempts” or CAPTCHA should be shown</t>
  </si>
  <si>
    <t>Only password error shown, even after 20+ attempts, with no warning or restriction</t>
  </si>
  <si>
    <t>Bug BUG-2g: No rate limit or CAPTCHA implemented; risk of brute-force attacks</t>
  </si>
  <si>
    <t>3a</t>
  </si>
  <si>
    <t>Logout from Dashboard</t>
  </si>
  <si>
    <t>1. Login to app
2. Click on Profile Icon
3. Click on Logout</t>
  </si>
  <si>
    <t>Logged-in session</t>
  </si>
  <si>
    <t>Logout option available and accessible via profile menu (Settings, Your activity, Saved, Switch appearance, Report a problem, Switch accounts, Log out)</t>
  </si>
  <si>
    <t>Covers standard logout flow</t>
  </si>
  <si>
    <t>3b</t>
  </si>
  <si>
    <t>Logout via Back Button</t>
  </si>
  <si>
    <t>1. Login to app
2. Click Logout
3. Press browser back button</t>
  </si>
  <si>
    <t>No screenshot provided in source</t>
  </si>
  <si>
    <t>4a</t>
  </si>
  <si>
    <t>Check Button Alignments</t>
  </si>
  <si>
    <t>1. Go to Login Page
2. Observe button placements</t>
  </si>
  <si>
    <t>4b</t>
  </si>
  <si>
    <t>Check Color Contrast in Dark Mode</t>
  </si>
  <si>
    <t>1. Enable Dark Mode
2. Navigate through all screens</t>
  </si>
  <si>
    <t>4c</t>
  </si>
  <si>
    <t>Check Input Field Spacing</t>
  </si>
  <si>
    <t>1. Open Register Page
2. Observe spacing between Email and Password fields</t>
  </si>
  <si>
    <t>4d</t>
  </si>
  <si>
    <t>Visual Feedback on Click</t>
  </si>
  <si>
    <t>1. Hover and click on buttons and inputs</t>
  </si>
  <si>
    <t>Summary Of Test Results:</t>
  </si>
  <si>
    <t>Total Test Cases</t>
  </si>
  <si>
    <t>Passed</t>
  </si>
  <si>
    <t>Failed</t>
  </si>
  <si>
    <t>Pass %</t>
  </si>
  <si>
    <t>Conclusion and Recommendations:</t>
  </si>
  <si>
    <t>Pass Rate: 91.67%, Needs Improvement</t>
  </si>
  <si>
    <t>Issues Found:</t>
  </si>
  <si>
    <t>1. Duplicate Email Allowed (1b) – Instagram allowed sign-up using an already registered email, resulting in account creation without any error.</t>
  </si>
  <si>
    <t>2. No Login Rate Limiting (2h) – Even after more than 15 failed login attempts with wrong credentials, there was no rate-limiting warning, CAPTCHA, or restriction.</t>
  </si>
  <si>
    <t>Recommendations:</t>
  </si>
  <si>
    <t>1. Add Email Uniqueness Check – Prevent duplicate account creation by enforcing unique email validation during sign-up.</t>
  </si>
  <si>
    <t>2. Implement Login Rate Limiting – Introduce rate limits and show appropriate warnings (like CAPTCHA or lockout) after multiple failed login attempts.</t>
  </si>
  <si>
    <t>Bug Reports:</t>
  </si>
  <si>
    <t>1.</t>
  </si>
  <si>
    <t>Field</t>
  </si>
  <si>
    <t>Description</t>
  </si>
  <si>
    <t>Bug ID</t>
  </si>
  <si>
    <t>BUG-1b</t>
  </si>
  <si>
    <t>Title</t>
  </si>
  <si>
    <t>Sign up allows already registered email</t>
  </si>
  <si>
    <t>Module</t>
  </si>
  <si>
    <t>Sign Up</t>
  </si>
  <si>
    <t>Severity</t>
  </si>
  <si>
    <t>High</t>
  </si>
  <si>
    <t>Steps to Reproduce</t>
  </si>
  <si>
    <t>Expected Result</t>
  </si>
  <si>
    <t>Actual Result</t>
  </si>
  <si>
    <t>2.</t>
  </si>
  <si>
    <t>BUG-2g</t>
  </si>
  <si>
    <t>No rate limit or CAPTCHA on repeated failed login attempts</t>
  </si>
  <si>
    <t>Login</t>
  </si>
  <si>
    <t>Medium</t>
  </si>
  <si>
    <t>Try logging in with wrong credentials 20+ times</t>
  </si>
  <si>
    <t>Only password error shown</t>
  </si>
  <si>
    <t xml:space="preserve">Karan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</si>
</sst>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u/>
      <sz val="11"/>
      <name val="Calibri"/>
      <charset val="1"/>
    </font>
    <font>
      <b/>
      <sz val="11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zoomScale="44" zoomScaleNormal="44" workbookViewId="0">
      <pane ySplit="15" topLeftCell="A34" activePane="bottomLeft" state="frozen"/>
      <selection pane="bottomLeft" activeCell="A6" sqref="A6"/>
    </sheetView>
  </sheetViews>
  <sheetFormatPr defaultColWidth="8.6328125" defaultRowHeight="14.5" x14ac:dyDescent="0.35"/>
  <cols>
    <col min="1" max="1" width="183.7265625" bestFit="1" customWidth="1"/>
    <col min="2" max="2" width="31.453125" customWidth="1"/>
    <col min="3" max="3" width="45.36328125" customWidth="1"/>
    <col min="4" max="4" width="30" customWidth="1"/>
    <col min="5" max="5" width="26" customWidth="1"/>
    <col min="6" max="6" width="38" customWidth="1"/>
    <col min="7" max="7" width="10" customWidth="1"/>
    <col min="8" max="8" width="34" customWidth="1"/>
  </cols>
  <sheetData>
    <row r="1" spans="1:8" x14ac:dyDescent="0.35">
      <c r="A1" s="1" t="s">
        <v>0</v>
      </c>
    </row>
    <row r="2" spans="1:8" x14ac:dyDescent="0.35">
      <c r="A2" s="2" t="s">
        <v>1</v>
      </c>
    </row>
    <row r="3" spans="1:8" x14ac:dyDescent="0.35">
      <c r="A3" s="2" t="s">
        <v>2</v>
      </c>
      <c r="B3" t="s">
        <v>172</v>
      </c>
    </row>
    <row r="5" spans="1:8" x14ac:dyDescent="0.35">
      <c r="A5" s="3" t="s">
        <v>3</v>
      </c>
    </row>
    <row r="6" spans="1:8" ht="30" customHeight="1" x14ac:dyDescent="0.35">
      <c r="A6" s="2" t="s">
        <v>4</v>
      </c>
    </row>
    <row r="8" spans="1:8" x14ac:dyDescent="0.35">
      <c r="A8" s="3" t="s">
        <v>5</v>
      </c>
    </row>
    <row r="9" spans="1:8" x14ac:dyDescent="0.35">
      <c r="A9" s="2" t="s">
        <v>6</v>
      </c>
    </row>
    <row r="11" spans="1:8" x14ac:dyDescent="0.35">
      <c r="A11" s="3" t="s">
        <v>7</v>
      </c>
    </row>
    <row r="12" spans="1:8" x14ac:dyDescent="0.35">
      <c r="A12" s="2" t="s">
        <v>8</v>
      </c>
    </row>
    <row r="13" spans="1:8" x14ac:dyDescent="0.35">
      <c r="A13" s="2" t="s">
        <v>9</v>
      </c>
    </row>
    <row r="15" spans="1:8" x14ac:dyDescent="0.3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16</v>
      </c>
      <c r="H15" s="4" t="s">
        <v>17</v>
      </c>
    </row>
    <row r="16" spans="1:8" ht="60" customHeight="1" x14ac:dyDescent="0.35">
      <c r="A16" s="5" t="s">
        <v>18</v>
      </c>
      <c r="B16" s="6" t="s">
        <v>19</v>
      </c>
      <c r="C16" s="6" t="s">
        <v>20</v>
      </c>
      <c r="D16" s="6" t="s">
        <v>21</v>
      </c>
      <c r="E16" s="6" t="s">
        <v>6</v>
      </c>
      <c r="F16" s="6" t="s">
        <v>22</v>
      </c>
      <c r="G16" s="7" t="s">
        <v>23</v>
      </c>
      <c r="H16" s="6" t="s">
        <v>24</v>
      </c>
    </row>
    <row r="17" spans="1:8" ht="60" customHeight="1" x14ac:dyDescent="0.35">
      <c r="A17" s="5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8" t="s">
        <v>31</v>
      </c>
      <c r="H17" s="6" t="s">
        <v>32</v>
      </c>
    </row>
    <row r="18" spans="1:8" ht="60" customHeight="1" x14ac:dyDescent="0.35">
      <c r="A18" s="5" t="s">
        <v>33</v>
      </c>
      <c r="B18" s="6" t="s">
        <v>34</v>
      </c>
      <c r="C18" s="6" t="s">
        <v>35</v>
      </c>
      <c r="D18" s="6" t="s">
        <v>36</v>
      </c>
      <c r="E18" s="6" t="s">
        <v>6</v>
      </c>
      <c r="F18" s="6" t="s">
        <v>37</v>
      </c>
      <c r="G18" s="7" t="s">
        <v>23</v>
      </c>
      <c r="H18" s="6" t="s">
        <v>38</v>
      </c>
    </row>
    <row r="19" spans="1:8" ht="60" customHeight="1" x14ac:dyDescent="0.35">
      <c r="A19" s="5" t="s">
        <v>39</v>
      </c>
      <c r="B19" s="6" t="s">
        <v>40</v>
      </c>
      <c r="C19" s="6" t="s">
        <v>41</v>
      </c>
      <c r="D19" s="6" t="s">
        <v>42</v>
      </c>
      <c r="E19" s="6" t="s">
        <v>6</v>
      </c>
      <c r="F19" s="6" t="s">
        <v>43</v>
      </c>
      <c r="G19" s="7" t="s">
        <v>23</v>
      </c>
      <c r="H19" s="6" t="s">
        <v>44</v>
      </c>
    </row>
    <row r="20" spans="1:8" ht="60" customHeight="1" x14ac:dyDescent="0.35">
      <c r="A20" s="5" t="s">
        <v>45</v>
      </c>
      <c r="B20" s="6" t="s">
        <v>46</v>
      </c>
      <c r="C20" s="6" t="s">
        <v>47</v>
      </c>
      <c r="D20" s="6" t="s">
        <v>48</v>
      </c>
      <c r="E20" s="6" t="s">
        <v>6</v>
      </c>
      <c r="F20" s="6" t="s">
        <v>49</v>
      </c>
      <c r="G20" s="7" t="s">
        <v>23</v>
      </c>
      <c r="H20" s="6" t="s">
        <v>50</v>
      </c>
    </row>
    <row r="21" spans="1:8" ht="60" customHeight="1" x14ac:dyDescent="0.35">
      <c r="A21" s="5" t="s">
        <v>51</v>
      </c>
      <c r="B21" s="6" t="s">
        <v>52</v>
      </c>
      <c r="C21" s="6" t="s">
        <v>53</v>
      </c>
      <c r="D21" s="6" t="s">
        <v>54</v>
      </c>
      <c r="E21" s="6" t="s">
        <v>6</v>
      </c>
      <c r="F21" s="6" t="s">
        <v>55</v>
      </c>
      <c r="G21" s="7" t="s">
        <v>23</v>
      </c>
      <c r="H21" s="6" t="s">
        <v>56</v>
      </c>
    </row>
    <row r="22" spans="1:8" ht="60" customHeight="1" x14ac:dyDescent="0.35">
      <c r="A22" s="5" t="s">
        <v>57</v>
      </c>
      <c r="B22" s="6" t="s">
        <v>58</v>
      </c>
      <c r="C22" s="6" t="s">
        <v>59</v>
      </c>
      <c r="D22" s="6" t="s">
        <v>6</v>
      </c>
      <c r="E22" s="6" t="s">
        <v>6</v>
      </c>
      <c r="F22" s="6" t="s">
        <v>60</v>
      </c>
      <c r="G22" s="7" t="s">
        <v>23</v>
      </c>
      <c r="H22" s="6" t="s">
        <v>61</v>
      </c>
    </row>
    <row r="23" spans="1:8" ht="60" customHeight="1" x14ac:dyDescent="0.35">
      <c r="A23" s="5" t="s">
        <v>62</v>
      </c>
      <c r="B23" s="6" t="s">
        <v>63</v>
      </c>
      <c r="C23" s="6" t="s">
        <v>64</v>
      </c>
      <c r="D23" s="6" t="s">
        <v>65</v>
      </c>
      <c r="E23" s="6" t="s">
        <v>6</v>
      </c>
      <c r="F23" s="6" t="s">
        <v>66</v>
      </c>
      <c r="G23" s="7" t="s">
        <v>23</v>
      </c>
      <c r="H23" s="6" t="s">
        <v>67</v>
      </c>
    </row>
    <row r="24" spans="1:8" ht="60" customHeight="1" x14ac:dyDescent="0.35">
      <c r="A24" s="5" t="s">
        <v>68</v>
      </c>
      <c r="B24" s="6" t="s">
        <v>69</v>
      </c>
      <c r="C24" s="6" t="s">
        <v>70</v>
      </c>
      <c r="D24" s="6" t="s">
        <v>71</v>
      </c>
      <c r="E24" s="6" t="s">
        <v>6</v>
      </c>
      <c r="F24" s="6" t="s">
        <v>72</v>
      </c>
      <c r="G24" s="7" t="s">
        <v>23</v>
      </c>
      <c r="H24" s="6" t="s">
        <v>73</v>
      </c>
    </row>
    <row r="25" spans="1:8" ht="60" customHeight="1" x14ac:dyDescent="0.35">
      <c r="A25" s="5" t="s">
        <v>74</v>
      </c>
      <c r="B25" s="6" t="s">
        <v>75</v>
      </c>
      <c r="C25" s="6" t="s">
        <v>76</v>
      </c>
      <c r="D25" s="6" t="s">
        <v>77</v>
      </c>
      <c r="E25" s="6" t="s">
        <v>6</v>
      </c>
      <c r="F25" s="6" t="s">
        <v>78</v>
      </c>
      <c r="G25" s="7" t="s">
        <v>23</v>
      </c>
      <c r="H25" s="6" t="s">
        <v>79</v>
      </c>
    </row>
    <row r="26" spans="1:8" ht="60" customHeight="1" x14ac:dyDescent="0.35">
      <c r="A26" s="5" t="s">
        <v>80</v>
      </c>
      <c r="B26" s="6" t="s">
        <v>81</v>
      </c>
      <c r="C26" s="6" t="s">
        <v>82</v>
      </c>
      <c r="D26" s="6" t="s">
        <v>83</v>
      </c>
      <c r="E26" s="6" t="s">
        <v>6</v>
      </c>
      <c r="F26" s="6" t="s">
        <v>84</v>
      </c>
      <c r="G26" s="7" t="s">
        <v>23</v>
      </c>
      <c r="H26" s="6" t="s">
        <v>85</v>
      </c>
    </row>
    <row r="27" spans="1:8" ht="60" customHeight="1" x14ac:dyDescent="0.35">
      <c r="A27" s="5" t="s">
        <v>86</v>
      </c>
      <c r="B27" s="6" t="s">
        <v>87</v>
      </c>
      <c r="C27" s="6" t="s">
        <v>88</v>
      </c>
      <c r="D27" s="6" t="s">
        <v>89</v>
      </c>
      <c r="E27" s="6" t="s">
        <v>6</v>
      </c>
      <c r="F27" s="6" t="s">
        <v>90</v>
      </c>
      <c r="G27" s="7" t="s">
        <v>23</v>
      </c>
      <c r="H27" s="6" t="s">
        <v>85</v>
      </c>
    </row>
    <row r="28" spans="1:8" ht="60" customHeight="1" x14ac:dyDescent="0.35">
      <c r="A28" s="5" t="s">
        <v>91</v>
      </c>
      <c r="B28" s="6" t="s">
        <v>92</v>
      </c>
      <c r="C28" s="6" t="s">
        <v>93</v>
      </c>
      <c r="D28" s="6" t="s">
        <v>94</v>
      </c>
      <c r="E28" s="6" t="s">
        <v>6</v>
      </c>
      <c r="F28" s="6" t="s">
        <v>95</v>
      </c>
      <c r="G28" s="7" t="s">
        <v>23</v>
      </c>
      <c r="H28" s="6" t="s">
        <v>96</v>
      </c>
    </row>
    <row r="29" spans="1:8" ht="60" customHeight="1" x14ac:dyDescent="0.35">
      <c r="A29" s="5" t="s">
        <v>97</v>
      </c>
      <c r="B29" s="6" t="s">
        <v>98</v>
      </c>
      <c r="C29" s="6" t="s">
        <v>99</v>
      </c>
      <c r="D29" s="6" t="s">
        <v>6</v>
      </c>
      <c r="E29" s="6" t="s">
        <v>6</v>
      </c>
      <c r="F29" s="6" t="s">
        <v>100</v>
      </c>
      <c r="G29" s="7" t="s">
        <v>23</v>
      </c>
      <c r="H29" s="6" t="s">
        <v>101</v>
      </c>
    </row>
    <row r="30" spans="1:8" ht="60" customHeight="1" x14ac:dyDescent="0.35">
      <c r="A30" s="5" t="s">
        <v>102</v>
      </c>
      <c r="B30" s="6" t="s">
        <v>103</v>
      </c>
      <c r="C30" s="6" t="s">
        <v>104</v>
      </c>
      <c r="D30" s="6" t="s">
        <v>105</v>
      </c>
      <c r="E30" s="6" t="s">
        <v>6</v>
      </c>
      <c r="F30" s="6" t="s">
        <v>106</v>
      </c>
      <c r="G30" s="7" t="s">
        <v>23</v>
      </c>
      <c r="H30" s="6" t="s">
        <v>107</v>
      </c>
    </row>
    <row r="31" spans="1:8" ht="60" customHeight="1" x14ac:dyDescent="0.35">
      <c r="A31" s="5" t="s">
        <v>108</v>
      </c>
      <c r="B31" s="6" t="s">
        <v>109</v>
      </c>
      <c r="C31" s="6" t="s">
        <v>110</v>
      </c>
      <c r="D31" s="6" t="s">
        <v>111</v>
      </c>
      <c r="E31" s="6" t="s">
        <v>112</v>
      </c>
      <c r="F31" s="6" t="s">
        <v>113</v>
      </c>
      <c r="G31" s="8" t="s">
        <v>31</v>
      </c>
      <c r="H31" s="6" t="s">
        <v>114</v>
      </c>
    </row>
    <row r="32" spans="1:8" ht="60" customHeight="1" x14ac:dyDescent="0.35">
      <c r="A32" s="5" t="s">
        <v>115</v>
      </c>
      <c r="B32" s="6" t="s">
        <v>116</v>
      </c>
      <c r="C32" s="6" t="s">
        <v>117</v>
      </c>
      <c r="D32" s="6" t="s">
        <v>118</v>
      </c>
      <c r="E32" s="6" t="s">
        <v>6</v>
      </c>
      <c r="F32" s="6" t="s">
        <v>119</v>
      </c>
      <c r="G32" s="7" t="s">
        <v>23</v>
      </c>
      <c r="H32" s="6" t="s">
        <v>120</v>
      </c>
    </row>
    <row r="33" spans="1:8" ht="60" customHeight="1" x14ac:dyDescent="0.35">
      <c r="A33" s="5" t="s">
        <v>121</v>
      </c>
      <c r="B33" s="6" t="s">
        <v>122</v>
      </c>
      <c r="C33" s="6" t="s">
        <v>123</v>
      </c>
      <c r="D33" s="6" t="s">
        <v>118</v>
      </c>
      <c r="E33" s="6" t="s">
        <v>6</v>
      </c>
      <c r="F33" s="6" t="s">
        <v>6</v>
      </c>
      <c r="G33" s="7" t="s">
        <v>23</v>
      </c>
      <c r="H33" s="6" t="s">
        <v>124</v>
      </c>
    </row>
    <row r="34" spans="1:8" ht="60" customHeight="1" x14ac:dyDescent="0.35">
      <c r="A34" s="5" t="s">
        <v>125</v>
      </c>
      <c r="B34" s="6" t="s">
        <v>126</v>
      </c>
      <c r="C34" s="6" t="s">
        <v>127</v>
      </c>
      <c r="D34" s="6" t="s">
        <v>6</v>
      </c>
      <c r="E34" s="6" t="s">
        <v>6</v>
      </c>
      <c r="F34" s="6" t="s">
        <v>6</v>
      </c>
      <c r="G34" s="7" t="s">
        <v>23</v>
      </c>
      <c r="H34" s="6" t="s">
        <v>124</v>
      </c>
    </row>
    <row r="35" spans="1:8" ht="60" customHeight="1" x14ac:dyDescent="0.35">
      <c r="A35" s="5" t="s">
        <v>128</v>
      </c>
      <c r="B35" s="6" t="s">
        <v>129</v>
      </c>
      <c r="C35" s="6" t="s">
        <v>130</v>
      </c>
      <c r="D35" s="6" t="s">
        <v>6</v>
      </c>
      <c r="E35" s="6" t="s">
        <v>6</v>
      </c>
      <c r="F35" s="6" t="s">
        <v>6</v>
      </c>
      <c r="G35" s="7" t="s">
        <v>23</v>
      </c>
      <c r="H35" s="6" t="s">
        <v>124</v>
      </c>
    </row>
    <row r="36" spans="1:8" ht="60" customHeight="1" x14ac:dyDescent="0.35">
      <c r="A36" s="5" t="s">
        <v>131</v>
      </c>
      <c r="B36" s="6" t="s">
        <v>132</v>
      </c>
      <c r="C36" s="6" t="s">
        <v>133</v>
      </c>
      <c r="D36" s="6" t="s">
        <v>6</v>
      </c>
      <c r="E36" s="6" t="s">
        <v>6</v>
      </c>
      <c r="F36" s="6" t="s">
        <v>6</v>
      </c>
      <c r="G36" s="7" t="s">
        <v>23</v>
      </c>
      <c r="H36" s="6" t="s">
        <v>124</v>
      </c>
    </row>
    <row r="37" spans="1:8" ht="60" customHeight="1" x14ac:dyDescent="0.35">
      <c r="A37" s="5" t="s">
        <v>134</v>
      </c>
      <c r="B37" s="6" t="s">
        <v>135</v>
      </c>
      <c r="C37" s="6" t="s">
        <v>136</v>
      </c>
      <c r="D37" s="6" t="s">
        <v>6</v>
      </c>
      <c r="E37" s="6" t="s">
        <v>6</v>
      </c>
      <c r="F37" s="6" t="s">
        <v>6</v>
      </c>
      <c r="G37" s="7" t="s">
        <v>23</v>
      </c>
      <c r="H37" s="6" t="s">
        <v>124</v>
      </c>
    </row>
    <row r="40" spans="1:8" x14ac:dyDescent="0.35">
      <c r="A40" s="3" t="s">
        <v>137</v>
      </c>
    </row>
    <row r="41" spans="1:8" x14ac:dyDescent="0.35">
      <c r="A41" s="1" t="s">
        <v>138</v>
      </c>
      <c r="B41" s="2">
        <f>COUNTA(A16:A37)</f>
        <v>22</v>
      </c>
    </row>
    <row r="42" spans="1:8" x14ac:dyDescent="0.35">
      <c r="A42" s="1" t="s">
        <v>139</v>
      </c>
      <c r="B42" s="2">
        <f>COUNTIF(G16:G37,"Pass")</f>
        <v>20</v>
      </c>
    </row>
    <row r="43" spans="1:8" x14ac:dyDescent="0.35">
      <c r="A43" s="1" t="s">
        <v>140</v>
      </c>
      <c r="B43" s="2">
        <f>COUNTIF(G16:G37,"Fail")</f>
        <v>2</v>
      </c>
    </row>
    <row r="44" spans="1:8" x14ac:dyDescent="0.35">
      <c r="A44" s="1" t="s">
        <v>141</v>
      </c>
      <c r="B44" s="9">
        <f>B42/B41</f>
        <v>0.90909090909090906</v>
      </c>
    </row>
    <row r="46" spans="1:8" x14ac:dyDescent="0.35">
      <c r="A46" s="3" t="s">
        <v>142</v>
      </c>
    </row>
    <row r="47" spans="1:8" x14ac:dyDescent="0.35">
      <c r="A47" s="2" t="s">
        <v>143</v>
      </c>
    </row>
    <row r="49" spans="1:2" x14ac:dyDescent="0.35">
      <c r="A49" s="3" t="s">
        <v>144</v>
      </c>
    </row>
    <row r="50" spans="1:2" x14ac:dyDescent="0.35">
      <c r="A50" s="2" t="s">
        <v>145</v>
      </c>
    </row>
    <row r="51" spans="1:2" x14ac:dyDescent="0.35">
      <c r="A51" s="2" t="s">
        <v>146</v>
      </c>
    </row>
    <row r="53" spans="1:2" x14ac:dyDescent="0.35">
      <c r="A53" s="3" t="s">
        <v>147</v>
      </c>
    </row>
    <row r="54" spans="1:2" x14ac:dyDescent="0.35">
      <c r="A54" s="2" t="s">
        <v>148</v>
      </c>
    </row>
    <row r="55" spans="1:2" x14ac:dyDescent="0.35">
      <c r="A55" s="2" t="s">
        <v>149</v>
      </c>
    </row>
    <row r="57" spans="1:2" x14ac:dyDescent="0.35">
      <c r="A57" s="3" t="s">
        <v>150</v>
      </c>
    </row>
    <row r="59" spans="1:2" x14ac:dyDescent="0.35">
      <c r="A59" s="1" t="s">
        <v>151</v>
      </c>
    </row>
    <row r="60" spans="1:2" x14ac:dyDescent="0.35">
      <c r="A60" s="4" t="s">
        <v>152</v>
      </c>
      <c r="B60" s="4" t="s">
        <v>153</v>
      </c>
    </row>
    <row r="61" spans="1:2" ht="30" customHeight="1" x14ac:dyDescent="0.35">
      <c r="A61" s="6" t="s">
        <v>154</v>
      </c>
      <c r="B61" s="6" t="s">
        <v>155</v>
      </c>
    </row>
    <row r="62" spans="1:2" ht="30" customHeight="1" x14ac:dyDescent="0.35">
      <c r="A62" s="6" t="s">
        <v>156</v>
      </c>
      <c r="B62" s="6" t="s">
        <v>157</v>
      </c>
    </row>
    <row r="63" spans="1:2" ht="30" customHeight="1" x14ac:dyDescent="0.35">
      <c r="A63" s="6" t="s">
        <v>158</v>
      </c>
      <c r="B63" s="6" t="s">
        <v>159</v>
      </c>
    </row>
    <row r="64" spans="1:2" ht="30" customHeight="1" x14ac:dyDescent="0.35">
      <c r="A64" s="6" t="s">
        <v>160</v>
      </c>
      <c r="B64" s="6" t="s">
        <v>161</v>
      </c>
    </row>
    <row r="65" spans="1:2" ht="30" customHeight="1" x14ac:dyDescent="0.35">
      <c r="A65" s="6" t="s">
        <v>162</v>
      </c>
      <c r="B65" s="6" t="s">
        <v>27</v>
      </c>
    </row>
    <row r="66" spans="1:2" ht="30" customHeight="1" x14ac:dyDescent="0.35">
      <c r="A66" s="6" t="s">
        <v>163</v>
      </c>
      <c r="B66" s="6" t="s">
        <v>29</v>
      </c>
    </row>
    <row r="67" spans="1:2" ht="30" customHeight="1" x14ac:dyDescent="0.35">
      <c r="A67" s="6" t="s">
        <v>164</v>
      </c>
      <c r="B67" s="6" t="s">
        <v>30</v>
      </c>
    </row>
    <row r="69" spans="1:2" x14ac:dyDescent="0.35">
      <c r="A69" s="1" t="s">
        <v>165</v>
      </c>
    </row>
    <row r="70" spans="1:2" x14ac:dyDescent="0.35">
      <c r="A70" s="4" t="s">
        <v>152</v>
      </c>
      <c r="B70" s="4" t="s">
        <v>153</v>
      </c>
    </row>
    <row r="71" spans="1:2" ht="30" customHeight="1" x14ac:dyDescent="0.35">
      <c r="A71" s="6" t="s">
        <v>154</v>
      </c>
      <c r="B71" s="6" t="s">
        <v>166</v>
      </c>
    </row>
    <row r="72" spans="1:2" ht="30" customHeight="1" x14ac:dyDescent="0.35">
      <c r="A72" s="6" t="s">
        <v>156</v>
      </c>
      <c r="B72" s="6" t="s">
        <v>167</v>
      </c>
    </row>
    <row r="73" spans="1:2" ht="30" customHeight="1" x14ac:dyDescent="0.35">
      <c r="A73" s="6" t="s">
        <v>158</v>
      </c>
      <c r="B73" s="6" t="s">
        <v>168</v>
      </c>
    </row>
    <row r="74" spans="1:2" ht="30" customHeight="1" x14ac:dyDescent="0.35">
      <c r="A74" s="6" t="s">
        <v>160</v>
      </c>
      <c r="B74" s="6" t="s">
        <v>169</v>
      </c>
    </row>
    <row r="75" spans="1:2" ht="30" customHeight="1" x14ac:dyDescent="0.35">
      <c r="A75" s="6" t="s">
        <v>162</v>
      </c>
      <c r="B75" s="6" t="s">
        <v>170</v>
      </c>
    </row>
    <row r="76" spans="1:2" ht="30" customHeight="1" x14ac:dyDescent="0.35">
      <c r="A76" s="6" t="s">
        <v>163</v>
      </c>
      <c r="B76" s="6" t="s">
        <v>112</v>
      </c>
    </row>
    <row r="77" spans="1:2" ht="30" customHeight="1" x14ac:dyDescent="0.35">
      <c r="A77" s="6" t="s">
        <v>164</v>
      </c>
      <c r="B77" s="6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 K</cp:lastModifiedBy>
  <cp:revision>0</cp:revision>
  <dcterms:created xsi:type="dcterms:W3CDTF">2026-08-03T02:49:51Z</dcterms:created>
  <dcterms:modified xsi:type="dcterms:W3CDTF">2026-08-18T05:26:44Z</dcterms:modified>
  <dc:language>en-US</dc:language>
</cp:coreProperties>
</file>