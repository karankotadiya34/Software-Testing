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Summary" sheetId="1" state="visible" r:id="rId3"/>
    <sheet name="Test Cases" sheetId="2" state="visible" r:id="rId4"/>
    <sheet name="Defect Log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<sst xmlns="http://schemas.openxmlformats.org/spreadsheetml/2006/main" count="365" uniqueCount="228">
  <si>
    <t xml:space="preserve">PRACTICAL 5 — LOGIN MODULE TEST CASE DOCUMENT</t>
  </si>
  <si>
    <t xml:space="preserve">Practice Test Automation — Test Login Page</t>
  </si>
  <si>
    <t xml:space="preserve">Document Information</t>
  </si>
  <si>
    <t xml:space="preserve">Application Under Test</t>
  </si>
  <si>
    <t xml:space="preserve">Practice Test Automation - Test Login Page</t>
  </si>
  <si>
    <t xml:space="preserve">Application URL</t>
  </si>
  <si>
    <t xml:space="preserve">https://practicetestautomation.com/practice-test-login/</t>
  </si>
  <si>
    <t xml:space="preserve">Module</t>
  </si>
  <si>
    <t xml:space="preserve">Login Module (Authentication)</t>
  </si>
  <si>
    <t xml:space="preserve">Test Type</t>
  </si>
  <si>
    <t xml:space="preserve">Functional, Negative, Security &amp; UI Testing (Manual)</t>
  </si>
  <si>
    <t xml:space="preserve">Test Environment</t>
  </si>
  <si>
    <t xml:space="preserve">Web Application (Production / Public Demo Site)</t>
  </si>
  <si>
    <t xml:space="preserve">Browser(s) Used</t>
  </si>
  <si>
    <t xml:space="preserve">Google Chrome 126, Mozilla Firefox 128, Microsoft Edge 126</t>
  </si>
  <si>
    <t xml:space="preserve">Operating System</t>
  </si>
  <si>
    <t xml:space="preserve">Windows 11 (64-bit)</t>
  </si>
  <si>
    <t xml:space="preserve">Valid Test Credentials</t>
  </si>
  <si>
    <t xml:space="preserve">Username: student | Password: Password123</t>
  </si>
  <si>
    <t xml:space="preserve">Tester</t>
  </si>
  <si>
    <t xml:space="preserve">QA Tester</t>
  </si>
  <si>
    <t xml:space="preserve">Test Execution Date</t>
  </si>
  <si>
    <t xml:space="preserve">03-Aug-2026</t>
  </si>
  <si>
    <t xml:space="preserve">Document Version</t>
  </si>
  <si>
    <t xml:space="preserve">1.0</t>
  </si>
  <si>
    <t xml:space="preserve">Execution Summary</t>
  </si>
  <si>
    <t xml:space="preserve">Metric</t>
  </si>
  <si>
    <t xml:space="preserve">Value</t>
  </si>
  <si>
    <t xml:space="preserve">Total Test Cases</t>
  </si>
  <si>
    <t xml:space="preserve">Passed</t>
  </si>
  <si>
    <t xml:space="preserve">Failed</t>
  </si>
  <si>
    <t xml:space="preserve">Blocked</t>
  </si>
  <si>
    <t xml:space="preserve">Pass Percentage</t>
  </si>
  <si>
    <t xml:space="preserve">Total Defects Logged</t>
  </si>
  <si>
    <t xml:space="preserve">LOGIN MODULE — DETAILED TEST CASES (Practice Test Automation)</t>
  </si>
  <si>
    <t xml:space="preserve">URL: https://practicetestautomation.com/practice-test-login/   |   Valid Credentials: student / Password123</t>
  </si>
  <si>
    <t xml:space="preserve">TC ID</t>
  </si>
  <si>
    <t xml:space="preserve">Category</t>
  </si>
  <si>
    <t xml:space="preserve">Test Case Title</t>
  </si>
  <si>
    <t xml:space="preserve">Preconditions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</si>
  <si>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</si>
  <si>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</si>
  <si>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</si>
  <si>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</si>
  <si>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</si>
  <si>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Severity</t>
  </si>
  <si>
    <t xml:space="preserve">Priority</t>
  </si>
  <si>
    <t xml:space="preserve">Defect ID</t>
  </si>
  <si>
    <t xml:space="preserve">Remarks</t>
  </si>
  <si>
    <t xml:space="preserve">TC_LOGIN_01</t>
  </si>
  <si>
    <t xml:space="preserve">Functional - Positive</t>
  </si>
  <si>
    <t xml:space="preserve">Login with valid username and password</t>
  </si>
  <si>
    <t xml:space="preserve">Browser open; page loaded at /practice-test-login/</t>
  </si>
  <si>
    <t xml:space="preserve">1. Navigate to the Login page
2. Enter username in the Username field
3. Enter password in the Password field
4. Click Submit</t>
  </si>
  <si>
    <t xml:space="preserve">Username: student
Password: Password123</t>
  </si>
  <si>
    <t xml:space="preserve">User is redirected to /logged-in-successfully/; page displays a success message and a visible Log out button</t>
  </si>
  <si>
    <t xml:space="preserve">User redirected to /logged-in-successfully/; success message and Log out button displayed as expected</t>
  </si>
  <si>
    <t xml:space="preserve">Pass</t>
  </si>
  <si>
    <t xml:space="preserve">-</t>
  </si>
  <si>
    <t xml:space="preserve">High</t>
  </si>
  <si>
    <t xml:space="preserve">Baseline positive flow; confirms core authentication works</t>
  </si>
  <si>
    <t xml:space="preserve">TC_LOGIN_02</t>
  </si>
  <si>
    <t xml:space="preserve">Functional - Negative</t>
  </si>
  <si>
    <t xml:space="preserve">Login with invalid username</t>
  </si>
  <si>
    <t xml:space="preserve">1. Navigate to the Login page
2. Enter an incorrect username
3. Enter the valid password
4. Click Submit</t>
  </si>
  <si>
    <t xml:space="preserve">Username: incorrectUser
Password: Password123</t>
  </si>
  <si>
    <t xml:space="preserve">Login is rejected; inline error message "Your username is invalid!" is displayed above the form</t>
  </si>
  <si>
    <t xml:space="preserve">Login rejected; error message "Your username is invalid!" displayed correctly</t>
  </si>
  <si>
    <t xml:space="preserve">Validates username-side negative check</t>
  </si>
  <si>
    <t xml:space="preserve">TC_LOGIN_03</t>
  </si>
  <si>
    <t xml:space="preserve">Login with invalid password</t>
  </si>
  <si>
    <t xml:space="preserve">1. Navigate to the Login page
2. Enter the valid username
3. Enter an incorrect password
4. Click Submit</t>
  </si>
  <si>
    <t xml:space="preserve">Username: student
Password: incorrectPassword</t>
  </si>
  <si>
    <t xml:space="preserve">Login is rejected; inline error message "Your password is invalid!" is displayed above the form</t>
  </si>
  <si>
    <t xml:space="preserve">Login rejected; error message "Your password is invalid!" displayed correctly</t>
  </si>
  <si>
    <t xml:space="preserve">Validates password-side negative check</t>
  </si>
  <si>
    <t xml:space="preserve">TC_LOGIN_04</t>
  </si>
  <si>
    <t xml:space="preserve">Login with both username and password blank</t>
  </si>
  <si>
    <t xml:space="preserve">1. Navigate to the Login page
2. Leave Username field empty
3. Leave Password field empty
4. Click Submit</t>
  </si>
  <si>
    <t xml:space="preserve">Username: (blank)
Password: (blank)</t>
  </si>
  <si>
    <t xml:space="preserve">Form does not submit / error message identifying the missing username is displayed</t>
  </si>
  <si>
    <t xml:space="preserve">Error message "Your username is invalid!" displayed; form did not proceed</t>
  </si>
  <si>
    <t xml:space="preserve">Medium</t>
  </si>
  <si>
    <t xml:space="preserve">No client-side "required field" message shown; only the generic invalid-username error appears</t>
  </si>
  <si>
    <t xml:space="preserve">TC_LOGIN_05</t>
  </si>
  <si>
    <t xml:space="preserve">Login with valid username and blank password</t>
  </si>
  <si>
    <t xml:space="preserve">1. Navigate to the Login page
2. Enter valid username
3. Leave Password field empty
4. Click Submit</t>
  </si>
  <si>
    <t xml:space="preserve">Username: student
Password: (blank)</t>
  </si>
  <si>
    <t xml:space="preserve">Form rejects submission with an error indicating the password is invalid/required</t>
  </si>
  <si>
    <t xml:space="preserve">Error message "Your password is invalid!" displayed</t>
  </si>
  <si>
    <t xml:space="preserve">Blank password correctly treated as invalid</t>
  </si>
  <si>
    <t xml:space="preserve">TC_LOGIN_06</t>
  </si>
  <si>
    <t xml:space="preserve">Boundary / Data Handling</t>
  </si>
  <si>
    <t xml:space="preserve">Login with valid credentials containing leading/trailing whitespace</t>
  </si>
  <si>
    <t xml:space="preserve">1. Navigate to the Login page
2. Enter username with a leading and trailing space: " student "
3. Enter valid password: Password123
4. Click Submit</t>
  </si>
  <si>
    <t xml:space="preserve">Username: " student " (with spaces)
Password: Password123</t>
  </si>
  <si>
    <t xml:space="preserve">Application should trim leading/trailing whitespace and log the user in successfully, since the underlying credential is valid</t>
  </si>
  <si>
    <t xml:space="preserve">Login rejected; error message "Your username is invalid!" is displayed even though the trimmed value is a valid, registered username</t>
  </si>
  <si>
    <t xml:space="preserve">Fail</t>
  </si>
  <si>
    <t xml:space="preserve">BUG-LOGIN-01</t>
  </si>
  <si>
    <t xml:space="preserve">Whitespace is not trimmed before validation; see Defect Log</t>
  </si>
  <si>
    <t xml:space="preserve">TC_LOGIN_07</t>
  </si>
  <si>
    <t xml:space="preserve">Security - Negative</t>
  </si>
  <si>
    <t xml:space="preserve">Login attempt with SQL Injection payload in username</t>
  </si>
  <si>
    <t xml:space="preserve">1. Navigate to the Login page
2. Enter payload in Username field: ' OR '1'='1
3. Enter any value in Password field
4. Click Submit</t>
  </si>
  <si>
    <t xml:space="preserve">Username: ' OR '1'='1
Password: Password123</t>
  </si>
  <si>
    <t xml:space="preserve">Login is rejected with the standard invalid-username error; no authentication bypass, no stack trace or raw error is exposed</t>
  </si>
  <si>
    <t xml:space="preserve">Login rejected; generic "Your username is invalid!" message shown; no bypass observed, no internal error exposed</t>
  </si>
  <si>
    <t xml:space="preserve">Confirms front-end validation does not allow trivial injection-based bypass</t>
  </si>
  <si>
    <t xml:space="preserve">TC_LOGIN_08</t>
  </si>
  <si>
    <t xml:space="preserve">Login attempt with XSS payload in username field</t>
  </si>
  <si>
    <t xml:space="preserve">1. Navigate to the Login page
2. Enter payload in Username field: &lt;script&gt;alert(1)&lt;/script&gt;
3. Enter valid password
4. Click Submit</t>
  </si>
  <si>
    <t xml:space="preserve">Username: &lt;script&gt;alert(1)&lt;/script&gt;
Password: Password123</t>
  </si>
  <si>
    <t xml:space="preserve">Payload is treated as plain text; no script executes; standard invalid-username error is displayed</t>
  </si>
  <si>
    <t xml:space="preserve">No script execution observed; payload rendered as inert text within the error context; standard invalid-username error displayed</t>
  </si>
  <si>
    <t xml:space="preserve">No reflected XSS observed on this field for the tested payload</t>
  </si>
  <si>
    <t xml:space="preserve">TC_LOGIN_09</t>
  </si>
  <si>
    <t xml:space="preserve">Data Handling</t>
  </si>
  <si>
    <t xml:space="preserve">Login with case-altered username (STUDENT instead of student)</t>
  </si>
  <si>
    <t xml:space="preserve">1. Navigate to the Login page
2. Enter username in uppercase: STUDENT
3. Enter valid password: Password123
4. Click Submit</t>
  </si>
  <si>
    <t xml:space="preserve">Username: STUDENT
Password: Password123</t>
  </si>
  <si>
    <t xml:space="preserve">Behavior should match documented design; since the site does not publish username case-sensitivity rules, the result should at minimum be consistent and clearly communicated to the user</t>
  </si>
  <si>
    <t xml:space="preserve">Login rejected with "Your username is invalid!"; username comparison is case-sensitive</t>
  </si>
  <si>
    <t xml:space="preserve">Low</t>
  </si>
  <si>
    <t xml:space="preserve">Case-sensitive comparison confirmed; documented as expected behavior, not a defect</t>
  </si>
  <si>
    <t xml:space="preserve">TC_LOGIN_10</t>
  </si>
  <si>
    <t xml:space="preserve">Login with case-altered password (password123 instead of Password123)</t>
  </si>
  <si>
    <t xml:space="preserve">1. Navigate to the Login page
2. Enter valid username: student
3. Enter password in lowercase: password123
4. Click Submit</t>
  </si>
  <si>
    <t xml:space="preserve">Username: student
Password: password123</t>
  </si>
  <si>
    <t xml:space="preserve">Login is rejected; password comparison should be case-sensitive and error message should read "Your password is invalid!"</t>
  </si>
  <si>
    <t xml:space="preserve">Login rejected with "Your password is invalid!" as expected</t>
  </si>
  <si>
    <t xml:space="preserve">Confirms password case sensitivity</t>
  </si>
  <si>
    <t xml:space="preserve">TC_LOGIN_11</t>
  </si>
  <si>
    <t xml:space="preserve">UI / Usability</t>
  </si>
  <si>
    <t xml:space="preserve">Verify password field masks input characters</t>
  </si>
  <si>
    <t xml:space="preserve">1. Navigate to the Login page
2. Click into the Password field
3. Type Password123
4. Observe the field</t>
  </si>
  <si>
    <t xml:space="preserve">Password: Password123</t>
  </si>
  <si>
    <t xml:space="preserve">Characters typed into the Password field are masked (displayed as dots/asterisks) by default</t>
  </si>
  <si>
    <t xml:space="preserve">Characters are masked correctly; field uses type="password"</t>
  </si>
  <si>
    <t xml:space="preserve">Basic masking behaves correctly</t>
  </si>
  <si>
    <t xml:space="preserve">TC_LOGIN_12</t>
  </si>
  <si>
    <t xml:space="preserve">Security - Usability Gap</t>
  </si>
  <si>
    <t xml:space="preserve">Verify no show/hide password toggle is available</t>
  </si>
  <si>
    <t xml:space="preserve">1. Navigate to the Login page
2. Enter a password in the Password field
3. Look for an eye icon / "Show password" control</t>
  </si>
  <si>
    <t xml:space="preserve">Not a strict requirement, but modern login forms typically provide a show/hide toggle to reduce mistyped-password errors</t>
  </si>
  <si>
    <t xml:space="preserve">No show/hide password control is present anywhere on the form</t>
  </si>
  <si>
    <t xml:space="preserve">BUG-LOGIN-02</t>
  </si>
  <si>
    <t xml:space="preserve">Usability gap only; does not block login, logged as a minor enhancement defect</t>
  </si>
  <si>
    <t xml:space="preserve">TC_LOGIN_13</t>
  </si>
  <si>
    <t xml:space="preserve">Repeated failed login attempts (brute-force / rate-limit check)</t>
  </si>
  <si>
    <t xml:space="preserve">1. Navigate to the Login page
2. Enter valid username: student
3. Enter an incorrect password
4. Click Submit
5. Repeat steps 2-4 for 15 consecutive attempts within 5 minutes</t>
  </si>
  <si>
    <t xml:space="preserve">Username: student
Password: wrongPass1 ... wrongPass15</t>
  </si>
  <si>
    <t xml:space="preserve">After a defined threshold of failed attempts, the system should throttle further attempts, display a lockout/CAPTCHA challenge, or otherwise flag the activity</t>
  </si>
  <si>
    <t xml:space="preserve">All 15 attempts returned the same "Your password is invalid!" message with no delay, lockout, CAPTCHA, or warning of any kind</t>
  </si>
  <si>
    <t xml:space="preserve">BUG-LOGIN-03</t>
  </si>
  <si>
    <t xml:space="preserve">No brute-force protection; exposes the login form to automated credential-guessing attacks</t>
  </si>
  <si>
    <t xml:space="preserve">TC_LOGIN_14</t>
  </si>
  <si>
    <t xml:space="preserve">Verify successful login redirects to correct URL and shows confirmation</t>
  </si>
  <si>
    <t xml:space="preserve">Valid credentials available</t>
  </si>
  <si>
    <t xml:space="preserve">1. Log in with valid credentials
2. Inspect the resulting page URL
3. Inspect the page content</t>
  </si>
  <si>
    <t xml:space="preserve">URL contains /logged-in-successfully/; page text confirms successful login (e.g. 'Congratulations' / 'successfully logged in')</t>
  </si>
  <si>
    <t xml:space="preserve">URL correctly changed to /logged-in-successfully/; confirmation text present on page</t>
  </si>
  <si>
    <t xml:space="preserve">Confirms redirect and success messaging</t>
  </si>
  <si>
    <t xml:space="preserve">TC_LOGIN_15</t>
  </si>
  <si>
    <t xml:space="preserve">Verify Log out button is present and functional after login</t>
  </si>
  <si>
    <t xml:space="preserve">User is logged in via valid credentials</t>
  </si>
  <si>
    <t xml:space="preserve">1. Log in with valid credentials
2. Locate the Log out button on the success page
3. Click Log out</t>
  </si>
  <si>
    <t xml:space="preserve">Log out button is visible on the success page; clicking it returns the user to the Login page</t>
  </si>
  <si>
    <t xml:space="preserve">Log out button visible; clicking it correctly returns user to the Login page</t>
  </si>
  <si>
    <t xml:space="preserve">Core logout flow works as expected</t>
  </si>
  <si>
    <t xml:space="preserve">TC_LOGIN_16</t>
  </si>
  <si>
    <t xml:space="preserve">Session Management</t>
  </si>
  <si>
    <t xml:space="preserve">Verify browser Back button after logout does not restore the session</t>
  </si>
  <si>
    <t xml:space="preserve">User has logged out of a previously authenticated session</t>
  </si>
  <si>
    <t xml:space="preserve">1. Log in with valid credentials
2. Click Log out
3. Press the browser Back button</t>
  </si>
  <si>
    <t xml:space="preserve">User should remain on the Login page / logged-out state; the authenticated success page should not be restored from cache</t>
  </si>
  <si>
    <t xml:space="preserve">Browser Back returns to a cached view of the success page without prompting for re-authentication, before a manual refresh restores the correct logged-out Login page</t>
  </si>
  <si>
    <t xml:space="preserve">BUG-LOGIN-04</t>
  </si>
  <si>
    <t xml:space="preserve">Success page is served from browser cache after logout; no cache-control headers force revalidation</t>
  </si>
  <si>
    <t xml:space="preserve">TC_LOGIN_17</t>
  </si>
  <si>
    <t xml:space="preserve">UI / Responsiveness</t>
  </si>
  <si>
    <t xml:space="preserve">Verify login form layout on mobile viewport (375px width)</t>
  </si>
  <si>
    <t xml:space="preserve">1. Open the Login page
2. Switch to a mobile emulation viewport (375x667)
3. Observe field alignment, spacing and button visibility</t>
  </si>
  <si>
    <t xml:space="preserve">Viewport: 375x667 (iPhone SE class)</t>
  </si>
  <si>
    <t xml:space="preserve">Username field, Password field, Submit button and error text remain fully visible, correctly aligned and usable without horizontal scrolling</t>
  </si>
  <si>
    <t xml:space="preserve">Layout adapts correctly; all fields and the Submit button remain visible and usable, no horizontal scroll observed</t>
  </si>
  <si>
    <t xml:space="preserve">Confirms basic responsive behavior</t>
  </si>
  <si>
    <t xml:space="preserve">TC_LOGIN_18</t>
  </si>
  <si>
    <t xml:space="preserve">UI / Accessibility</t>
  </si>
  <si>
    <t xml:space="preserve">Verify form is operable using keyboard only (Tab / Enter)</t>
  </si>
  <si>
    <t xml:space="preserve">1. Navigate to the Login page
2. Use Tab key to move focus through Username, Password and Submit
3. Type credentials using keyboard only
4. Press Enter to submit</t>
  </si>
  <si>
    <t xml:space="preserve">Focus order is logical (Username -&gt; Password -&gt; Submit); Enter key submits the form successfully</t>
  </si>
  <si>
    <t xml:space="preserve">Tab order is logical; Enter key correctly submits the form and logs the user in</t>
  </si>
  <si>
    <t xml:space="preserve">Confirms keyboard accessibility of the core flow</t>
  </si>
  <si>
    <t xml:space="preserve">TC_LOGIN_19</t>
  </si>
  <si>
    <t xml:space="preserve">Cross-Browser</t>
  </si>
  <si>
    <t xml:space="preserve">Verify login flow consistency across Chrome, Firefox and Edge</t>
  </si>
  <si>
    <t xml:space="preserve">Same test data available on all three browsers</t>
  </si>
  <si>
    <t xml:space="preserve">1. Repeat TC_LOGIN_01 through TC_LOGIN_03 on Chrome, Firefox and Edge
2. Compare results across browsers</t>
  </si>
  <si>
    <t xml:space="preserve">Username: student
Password: Password123 (and negative variants)</t>
  </si>
  <si>
    <t xml:space="preserve">Identical behavior, error text and redirect URL across all three browsers</t>
  </si>
  <si>
    <t xml:space="preserve">Identical results observed on Chrome, Firefox and Edge; no rendering or logic differences found</t>
  </si>
  <si>
    <t xml:space="preserve">Cross-browser parity confirmed</t>
  </si>
  <si>
    <t xml:space="preserve">TC_LOGIN_20</t>
  </si>
  <si>
    <t xml:space="preserve">Boundary</t>
  </si>
  <si>
    <t xml:space="preserve">Login with an excessively long username string (500+ characters)</t>
  </si>
  <si>
    <t xml:space="preserve">1. Navigate to the Login page
2. Paste a 500-character alphanumeric string into the Username field
3. Enter a valid password
4. Click Submit</t>
  </si>
  <si>
    <t xml:space="preserve">Username: 500-character string
Password: Password123</t>
  </si>
  <si>
    <t xml:space="preserve">Field should either enforce a sensible max-length or the backend should reject gracefully with the standard invalid-username error, without visual breakage</t>
  </si>
  <si>
    <t xml:space="preserve">No max-length attribute enforced on the field; oversized input is accepted and submitted; page still returns the standard invalid-username error without layout breakage</t>
  </si>
  <si>
    <t xml:space="preserve">No crash or layout break; input-length restriction is a minor hardening recommendation, not filed as a defect</t>
  </si>
  <si>
    <t xml:space="preserve">LOGIN MODULE — DEFECT LOG</t>
  </si>
  <si>
    <t xml:space="preserve">Bug ID</t>
  </si>
  <si>
    <t xml:space="preserve">Related TC ID</t>
  </si>
  <si>
    <t xml:space="preserve">Title</t>
  </si>
  <si>
    <t xml:space="preserve">Reported By</t>
  </si>
  <si>
    <t xml:space="preserve">Date Reported</t>
  </si>
  <si>
    <t xml:space="preserve">Assigned To</t>
  </si>
  <si>
    <t xml:space="preserve">Environment</t>
  </si>
  <si>
    <t xml:space="preserve">Login fails for valid credentials when username has leading/trailing whitespace</t>
  </si>
  <si>
    <t xml:space="preserve">Login Module</t>
  </si>
  <si>
    <t xml:space="preserve">Open</t>
  </si>
  <si>
    <t xml:space="preserve">Development Team</t>
  </si>
  <si>
    <t xml:space="preserve">Chrome 126 / Windows 11</t>
  </si>
  <si>
    <t xml:space="preserve">No show/hide toggle available for the Password field</t>
  </si>
  <si>
    <t xml:space="preserve">UI/UX Team</t>
  </si>
  <si>
    <t xml:space="preserve">No rate limiting, lockout or CAPTCHA after repeated failed login attempts</t>
  </si>
  <si>
    <t xml:space="preserve">Authenticated success page restored from cache via browser Back after logout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</si>
</sst>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Calibri"/>
      <family val="0"/>
      <charset val="1"/>
    </font>
    <font>
      <i val="true"/>
      <sz val="12"/>
      <color rgb="FF595959"/>
      <name val="Calibri"/>
      <family val="0"/>
      <charset val="1"/>
    </font>
    <font>
      <b val="true"/>
      <sz val="12"/>
      <color rgb="FF1F3864"/>
      <name val="Calibri"/>
      <family val="0"/>
      <charset val="1"/>
    </font>
    <font>
      <b val="true"/>
      <sz val="10"/>
      <name val="Calibri"/>
      <family val="0"/>
      <charset val="1"/>
    </font>
    <font>
      <sz val="10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9"/>
      <color rgb="FF595959"/>
      <name val="Calibri"/>
      <family val="0"/>
      <charset val="1"/>
    </font>
    <font>
      <b val="true"/>
      <sz val="10"/>
      <color rgb="FF375623"/>
      <name val="Calibri"/>
      <family val="0"/>
      <charset val="1"/>
    </font>
    <font>
      <b val="true"/>
      <sz val="10"/>
      <color rgb="FF9C0006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D9E2F3"/>
        <bgColor rgb="FFC6E0B4"/>
      </patternFill>
    </fill>
    <fill>
      <patternFill patternType="solid">
        <fgColor rgb="FF1F3864"/>
        <bgColor rgb="FF333399"/>
      </patternFill>
    </fill>
    <fill>
      <patternFill patternType="solid">
        <fgColor rgb="FFC6E0B4"/>
        <bgColor rgb="FFD9E2F3"/>
      </patternFill>
    </fill>
    <fill>
      <patternFill patternType="solid">
        <fgColor rgb="FFF4CCCC"/>
        <bgColor rgb="FFD9E2F3"/>
      </patternFill>
    </fill>
    <fill>
      <patternFill patternType="solid">
        <fgColor rgb="FFFFF2CC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8" min="2" style="0" width="16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1"/>
      <c r="B2" s="1"/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A3" s="2" t="s">
        <v>1</v>
      </c>
      <c r="B3" s="2"/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A5" s="3" t="s">
        <v>2</v>
      </c>
    </row>
    <row r="6" customFormat="false" ht="15" hidden="false" customHeight="true" outlineLevel="0" collapsed="false">
      <c r="A6" s="4" t="s">
        <v>3</v>
      </c>
      <c r="B6" s="5" t="s">
        <v>4</v>
      </c>
      <c r="C6" s="5"/>
      <c r="D6" s="5"/>
      <c r="E6" s="5"/>
      <c r="F6" s="5"/>
    </row>
    <row r="7" customFormat="false" ht="15" hidden="false" customHeight="true" outlineLevel="0" collapsed="false">
      <c r="A7" s="4" t="s">
        <v>5</v>
      </c>
      <c r="B7" s="5" t="s">
        <v>6</v>
      </c>
      <c r="C7" s="5"/>
      <c r="D7" s="5"/>
      <c r="E7" s="5"/>
      <c r="F7" s="5"/>
    </row>
    <row r="8" customFormat="false" ht="15" hidden="false" customHeight="true" outlineLevel="0" collapsed="false">
      <c r="A8" s="4" t="s">
        <v>7</v>
      </c>
      <c r="B8" s="5" t="s">
        <v>8</v>
      </c>
      <c r="C8" s="5"/>
      <c r="D8" s="5"/>
      <c r="E8" s="5"/>
      <c r="F8" s="5"/>
    </row>
    <row r="9" customFormat="false" ht="15" hidden="false" customHeight="true" outlineLevel="0" collapsed="false">
      <c r="A9" s="4" t="s">
        <v>9</v>
      </c>
      <c r="B9" s="5" t="s">
        <v>10</v>
      </c>
      <c r="C9" s="5"/>
      <c r="D9" s="5"/>
      <c r="E9" s="5"/>
      <c r="F9" s="5"/>
    </row>
    <row r="10" customFormat="false" ht="15" hidden="false" customHeight="true" outlineLevel="0" collapsed="false">
      <c r="A10" s="4" t="s">
        <v>11</v>
      </c>
      <c r="B10" s="5" t="s">
        <v>12</v>
      </c>
      <c r="C10" s="5"/>
      <c r="D10" s="5"/>
      <c r="E10" s="5"/>
      <c r="F10" s="5"/>
    </row>
    <row r="11" customFormat="false" ht="15" hidden="false" customHeight="true" outlineLevel="0" collapsed="false">
      <c r="A11" s="4" t="s">
        <v>13</v>
      </c>
      <c r="B11" s="5" t="s">
        <v>14</v>
      </c>
      <c r="C11" s="5"/>
      <c r="D11" s="5"/>
      <c r="E11" s="5"/>
      <c r="F11" s="5"/>
    </row>
    <row r="12" customFormat="false" ht="15" hidden="false" customHeight="true" outlineLevel="0" collapsed="false">
      <c r="A12" s="4" t="s">
        <v>15</v>
      </c>
      <c r="B12" s="5" t="s">
        <v>16</v>
      </c>
      <c r="C12" s="5"/>
      <c r="D12" s="5"/>
      <c r="E12" s="5"/>
      <c r="F12" s="5"/>
    </row>
    <row r="13" customFormat="false" ht="15" hidden="false" customHeight="true" outlineLevel="0" collapsed="false">
      <c r="A13" s="4" t="s">
        <v>17</v>
      </c>
      <c r="B13" s="5" t="s">
        <v>18</v>
      </c>
      <c r="C13" s="5"/>
      <c r="D13" s="5"/>
      <c r="E13" s="5"/>
      <c r="F13" s="5"/>
    </row>
    <row r="14" customFormat="false" ht="15" hidden="false" customHeight="true" outlineLevel="0" collapsed="false">
      <c r="A14" s="4" t="s">
        <v>19</v>
      </c>
      <c r="B14" s="5" t="s">
        <v>20</v>
      </c>
      <c r="C14" s="5"/>
      <c r="D14" s="5"/>
      <c r="E14" s="5"/>
      <c r="F14" s="5"/>
    </row>
    <row r="15" customFormat="false" ht="15" hidden="false" customHeight="true" outlineLevel="0" collapsed="false">
      <c r="A15" s="4" t="s">
        <v>21</v>
      </c>
      <c r="B15" s="5" t="s">
        <v>22</v>
      </c>
      <c r="C15" s="5"/>
      <c r="D15" s="5"/>
      <c r="E15" s="5"/>
      <c r="F15" s="5"/>
    </row>
    <row r="16" customFormat="false" ht="15" hidden="false" customHeight="true" outlineLevel="0" collapsed="false">
      <c r="A16" s="4" t="s">
        <v>23</v>
      </c>
      <c r="B16" s="5" t="s">
        <v>24</v>
      </c>
      <c r="C16" s="5"/>
      <c r="D16" s="5"/>
      <c r="E16" s="5"/>
      <c r="F16" s="5"/>
    </row>
    <row r="18" customFormat="false" ht="15" hidden="false" customHeight="false" outlineLevel="0" collapsed="false">
      <c r="A18" s="3" t="s">
        <v>25</v>
      </c>
    </row>
    <row r="19" customFormat="false" ht="15" hidden="false" customHeight="false" outlineLevel="0" collapsed="false">
      <c r="A19" s="6" t="s">
        <v>26</v>
      </c>
      <c r="B19" s="6" t="s">
        <v>27</v>
      </c>
    </row>
    <row r="20" customFormat="false" ht="15" hidden="false" customHeight="false" outlineLevel="0" collapsed="false">
      <c r="A20" s="7" t="s">
        <v>28</v>
      </c>
      <c r="B20" s="8" t="n">
        <f aca="false">COUNTA('Test Cases'!A6:A100)</f>
        <v>20</v>
      </c>
    </row>
    <row r="21" customFormat="false" ht="15" hidden="false" customHeight="false" outlineLevel="0" collapsed="false">
      <c r="A21" s="7" t="s">
        <v>29</v>
      </c>
      <c r="B21" s="8" t="n">
        <f aca="false">COUNTIF('Test Cases'!I6:I100,"Pass")</f>
        <v>16</v>
      </c>
    </row>
    <row r="22" customFormat="false" ht="15" hidden="false" customHeight="false" outlineLevel="0" collapsed="false">
      <c r="A22" s="7" t="s">
        <v>30</v>
      </c>
      <c r="B22" s="8" t="n">
        <f aca="false">COUNTIF('Test Cases'!I6:I100,"Fail")</f>
        <v>4</v>
      </c>
    </row>
    <row r="23" customFormat="false" ht="15" hidden="false" customHeight="false" outlineLevel="0" collapsed="false">
      <c r="A23" s="7" t="s">
        <v>31</v>
      </c>
      <c r="B23" s="8" t="n">
        <f aca="false">COUNTIF('Test Cases'!I6:I100,"Blocked")</f>
        <v>0</v>
      </c>
    </row>
    <row r="24" customFormat="false" ht="15" hidden="false" customHeight="false" outlineLevel="0" collapsed="false">
      <c r="A24" s="7" t="s">
        <v>32</v>
      </c>
      <c r="B24" s="8" t="str">
        <f aca="false">IFERROR(ROUND(COUNTIF('Test Cases'!I6:I100,"Pass")/COUNTA('Test Cases'!A6:A100)*100,2),0)&amp;"%"</f>
        <v>80%</v>
      </c>
    </row>
    <row r="25" customFormat="false" ht="15" hidden="false" customHeight="false" outlineLevel="0" collapsed="false">
      <c r="A25" s="7" t="s">
        <v>33</v>
      </c>
      <c r="B25" s="8" t="n">
        <f aca="false">COUNTA('Defect Log'!A5:A100)</f>
        <v>4</v>
      </c>
    </row>
  </sheetData>
  <mergeCells count="13">
    <mergeCell ref="A1:H2"/>
    <mergeCell ref="A3:H3"/>
    <mergeCell ref="B6:F6"/>
    <mergeCell ref="B7:F7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2"/>
    <col collapsed="false" customWidth="true" hidden="false" outlineLevel="0" max="5" min="5" style="0" width="34"/>
    <col collapsed="false" customWidth="true" hidden="false" outlineLevel="0" max="6" min="6" style="0" width="20"/>
    <col collapsed="false" customWidth="true" hidden="false" outlineLevel="0" max="8" min="7" style="0" width="34"/>
    <col collapsed="false" customWidth="true" hidden="false" outlineLevel="0" max="9" min="9" style="0" width="10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4"/>
    <col collapsed="false" customWidth="true" hidden="false" outlineLevel="0" max="13" min="13" style="0" width="28"/>
  </cols>
  <sheetData>
    <row r="1" customFormat="false" ht="24" hidden="false" customHeight="true" outlineLevel="0" collapsed="false">
      <c r="A1" s="9" t="s">
        <v>34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</row>
    <row r="2" customFormat="false" ht="15" hidden="false" customHeight="false" outlineLevel="0" collapsed="false">
      <c r="A2" s="10" t="s">
        <v>35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</row>
    <row r="5" customFormat="false" ht="19.5" hidden="false" customHeight="true" outlineLevel="0" collapsed="false">
      <c r="A5" s="6" t="s">
        <v>36</v>
      </c>
      <c r="B5" s="6" t="s">
        <v>37</v>
      </c>
      <c r="C5" s="6" t="s">
        <v>38</v>
      </c>
      <c r="D5" s="6" t="s">
        <v>39</v>
      </c>
      <c r="E5" s="6" t="s">
        <v>40</v>
      </c>
      <c r="F5" s="6" t="s">
        <v>41</v>
      </c>
      <c r="G5" s="6" t="s">
        <v>42</v>
      </c>
      <c r="H5" s="6" t="s">
        <v>43</v>
      </c>
      <c r="I5" s="6" t="s">
        <v>44</v>
      </c>
      <c r="J5" s="6" t="s">
        <v>45</v>
      </c>
      <c r="K5" s="6" t="s">
        <v>46</v>
      </c>
      <c r="L5" s="6" t="s">
        <v>47</v>
      </c>
      <c r="M5" s="6" t="s">
        <v>48</v>
      </c>
    </row>
    <row r="6" customFormat="false" ht="69.75" hidden="false" customHeight="true" outlineLevel="0" collapsed="false">
      <c r="A6" s="11" t="s">
        <v>49</v>
      </c>
      <c r="B6" s="12" t="s">
        <v>50</v>
      </c>
      <c r="C6" s="12" t="s">
        <v>51</v>
      </c>
      <c r="D6" s="12" t="s">
        <v>52</v>
      </c>
      <c r="E6" s="12" t="s">
        <v>53</v>
      </c>
      <c r="F6" s="12" t="s">
        <v>54</v>
      </c>
      <c r="G6" s="12" t="s">
        <v>55</v>
      </c>
      <c r="H6" s="12" t="s">
        <v>56</v>
      </c>
      <c r="I6" s="13" t="s">
        <v>57</v>
      </c>
      <c r="J6" s="11" t="s">
        <v>58</v>
      </c>
      <c r="K6" s="11" t="s">
        <v>59</v>
      </c>
      <c r="L6" s="11" t="s">
        <v>58</v>
      </c>
      <c r="M6" s="12" t="s">
        <v>60</v>
      </c>
    </row>
    <row r="7" customFormat="false" ht="69.75" hidden="false" customHeight="true" outlineLevel="0" collapsed="false">
      <c r="A7" s="11" t="s">
        <v>61</v>
      </c>
      <c r="B7" s="12" t="s">
        <v>62</v>
      </c>
      <c r="C7" s="12" t="s">
        <v>63</v>
      </c>
      <c r="D7" s="12" t="s">
        <v>52</v>
      </c>
      <c r="E7" s="12" t="s">
        <v>64</v>
      </c>
      <c r="F7" s="12" t="s">
        <v>65</v>
      </c>
      <c r="G7" s="12" t="s">
        <v>66</v>
      </c>
      <c r="H7" s="12" t="s">
        <v>67</v>
      </c>
      <c r="I7" s="13" t="s">
        <v>57</v>
      </c>
      <c r="J7" s="11" t="s">
        <v>58</v>
      </c>
      <c r="K7" s="11" t="s">
        <v>59</v>
      </c>
      <c r="L7" s="11" t="s">
        <v>58</v>
      </c>
      <c r="M7" s="12" t="s">
        <v>68</v>
      </c>
    </row>
    <row r="8" customFormat="false" ht="69.75" hidden="false" customHeight="true" outlineLevel="0" collapsed="false">
      <c r="A8" s="11" t="s">
        <v>69</v>
      </c>
      <c r="B8" s="12" t="s">
        <v>62</v>
      </c>
      <c r="C8" s="12" t="s">
        <v>70</v>
      </c>
      <c r="D8" s="12" t="s">
        <v>52</v>
      </c>
      <c r="E8" s="12" t="s">
        <v>71</v>
      </c>
      <c r="F8" s="12" t="s">
        <v>72</v>
      </c>
      <c r="G8" s="12" t="s">
        <v>73</v>
      </c>
      <c r="H8" s="12" t="s">
        <v>74</v>
      </c>
      <c r="I8" s="13" t="s">
        <v>57</v>
      </c>
      <c r="J8" s="11" t="s">
        <v>58</v>
      </c>
      <c r="K8" s="11" t="s">
        <v>59</v>
      </c>
      <c r="L8" s="11" t="s">
        <v>58</v>
      </c>
      <c r="M8" s="12" t="s">
        <v>75</v>
      </c>
    </row>
    <row r="9" customFormat="false" ht="69.75" hidden="false" customHeight="true" outlineLevel="0" collapsed="false">
      <c r="A9" s="11" t="s">
        <v>76</v>
      </c>
      <c r="B9" s="12" t="s">
        <v>62</v>
      </c>
      <c r="C9" s="12" t="s">
        <v>77</v>
      </c>
      <c r="D9" s="12" t="s">
        <v>52</v>
      </c>
      <c r="E9" s="12" t="s">
        <v>78</v>
      </c>
      <c r="F9" s="12" t="s">
        <v>79</v>
      </c>
      <c r="G9" s="12" t="s">
        <v>80</v>
      </c>
      <c r="H9" s="12" t="s">
        <v>81</v>
      </c>
      <c r="I9" s="13" t="s">
        <v>57</v>
      </c>
      <c r="J9" s="11" t="s">
        <v>58</v>
      </c>
      <c r="K9" s="11" t="s">
        <v>82</v>
      </c>
      <c r="L9" s="11" t="s">
        <v>58</v>
      </c>
      <c r="M9" s="12" t="s">
        <v>83</v>
      </c>
    </row>
    <row r="10" customFormat="false" ht="69.75" hidden="false" customHeight="true" outlineLevel="0" collapsed="false">
      <c r="A10" s="11" t="s">
        <v>84</v>
      </c>
      <c r="B10" s="12" t="s">
        <v>62</v>
      </c>
      <c r="C10" s="12" t="s">
        <v>85</v>
      </c>
      <c r="D10" s="12" t="s">
        <v>52</v>
      </c>
      <c r="E10" s="12" t="s">
        <v>86</v>
      </c>
      <c r="F10" s="12" t="s">
        <v>87</v>
      </c>
      <c r="G10" s="12" t="s">
        <v>88</v>
      </c>
      <c r="H10" s="12" t="s">
        <v>89</v>
      </c>
      <c r="I10" s="13" t="s">
        <v>57</v>
      </c>
      <c r="J10" s="11" t="s">
        <v>58</v>
      </c>
      <c r="K10" s="11" t="s">
        <v>82</v>
      </c>
      <c r="L10" s="11" t="s">
        <v>58</v>
      </c>
      <c r="M10" s="12" t="s">
        <v>90</v>
      </c>
    </row>
    <row r="11" customFormat="false" ht="69.75" hidden="false" customHeight="true" outlineLevel="0" collapsed="false">
      <c r="A11" s="11" t="s">
        <v>91</v>
      </c>
      <c r="B11" s="12" t="s">
        <v>92</v>
      </c>
      <c r="C11" s="12" t="s">
        <v>93</v>
      </c>
      <c r="D11" s="12" t="s">
        <v>52</v>
      </c>
      <c r="E11" s="12" t="s">
        <v>94</v>
      </c>
      <c r="F11" s="12" t="s">
        <v>95</v>
      </c>
      <c r="G11" s="12" t="s">
        <v>96</v>
      </c>
      <c r="H11" s="12" t="s">
        <v>97</v>
      </c>
      <c r="I11" s="14" t="s">
        <v>98</v>
      </c>
      <c r="J11" s="11" t="s">
        <v>82</v>
      </c>
      <c r="K11" s="11" t="s">
        <v>82</v>
      </c>
      <c r="L11" s="11" t="s">
        <v>99</v>
      </c>
      <c r="M11" s="12" t="s">
        <v>100</v>
      </c>
    </row>
    <row r="12" customFormat="false" ht="69.75" hidden="false" customHeight="true" outlineLevel="0" collapsed="false">
      <c r="A12" s="11" t="s">
        <v>101</v>
      </c>
      <c r="B12" s="12" t="s">
        <v>102</v>
      </c>
      <c r="C12" s="12" t="s">
        <v>103</v>
      </c>
      <c r="D12" s="12" t="s">
        <v>52</v>
      </c>
      <c r="E12" s="12" t="s">
        <v>104</v>
      </c>
      <c r="F12" s="12" t="s">
        <v>105</v>
      </c>
      <c r="G12" s="12" t="s">
        <v>106</v>
      </c>
      <c r="H12" s="12" t="s">
        <v>107</v>
      </c>
      <c r="I12" s="13" t="s">
        <v>57</v>
      </c>
      <c r="J12" s="11" t="s">
        <v>58</v>
      </c>
      <c r="K12" s="11" t="s">
        <v>59</v>
      </c>
      <c r="L12" s="11" t="s">
        <v>58</v>
      </c>
      <c r="M12" s="12" t="s">
        <v>108</v>
      </c>
    </row>
    <row r="13" customFormat="false" ht="69.75" hidden="false" customHeight="true" outlineLevel="0" collapsed="false">
      <c r="A13" s="11" t="s">
        <v>109</v>
      </c>
      <c r="B13" s="12" t="s">
        <v>102</v>
      </c>
      <c r="C13" s="12" t="s">
        <v>110</v>
      </c>
      <c r="D13" s="12" t="s">
        <v>52</v>
      </c>
      <c r="E13" s="12" t="s">
        <v>111</v>
      </c>
      <c r="F13" s="12" t="s">
        <v>112</v>
      </c>
      <c r="G13" s="12" t="s">
        <v>113</v>
      </c>
      <c r="H13" s="12" t="s">
        <v>114</v>
      </c>
      <c r="I13" s="13" t="s">
        <v>57</v>
      </c>
      <c r="J13" s="11" t="s">
        <v>58</v>
      </c>
      <c r="K13" s="11" t="s">
        <v>59</v>
      </c>
      <c r="L13" s="11" t="s">
        <v>58</v>
      </c>
      <c r="M13" s="12" t="s">
        <v>115</v>
      </c>
    </row>
    <row r="14" customFormat="false" ht="69.75" hidden="false" customHeight="true" outlineLevel="0" collapsed="false">
      <c r="A14" s="11" t="s">
        <v>116</v>
      </c>
      <c r="B14" s="12" t="s">
        <v>117</v>
      </c>
      <c r="C14" s="12" t="s">
        <v>118</v>
      </c>
      <c r="D14" s="12" t="s">
        <v>52</v>
      </c>
      <c r="E14" s="12" t="s">
        <v>119</v>
      </c>
      <c r="F14" s="12" t="s">
        <v>120</v>
      </c>
      <c r="G14" s="12" t="s">
        <v>121</v>
      </c>
      <c r="H14" s="12" t="s">
        <v>122</v>
      </c>
      <c r="I14" s="13" t="s">
        <v>57</v>
      </c>
      <c r="J14" s="11" t="s">
        <v>58</v>
      </c>
      <c r="K14" s="11" t="s">
        <v>123</v>
      </c>
      <c r="L14" s="11" t="s">
        <v>58</v>
      </c>
      <c r="M14" s="12" t="s">
        <v>124</v>
      </c>
    </row>
    <row r="15" customFormat="false" ht="69.75" hidden="false" customHeight="true" outlineLevel="0" collapsed="false">
      <c r="A15" s="11" t="s">
        <v>125</v>
      </c>
      <c r="B15" s="12" t="s">
        <v>117</v>
      </c>
      <c r="C15" s="12" t="s">
        <v>126</v>
      </c>
      <c r="D15" s="12" t="s">
        <v>52</v>
      </c>
      <c r="E15" s="12" t="s">
        <v>127</v>
      </c>
      <c r="F15" s="12" t="s">
        <v>128</v>
      </c>
      <c r="G15" s="12" t="s">
        <v>129</v>
      </c>
      <c r="H15" s="12" t="s">
        <v>130</v>
      </c>
      <c r="I15" s="13" t="s">
        <v>57</v>
      </c>
      <c r="J15" s="11" t="s">
        <v>58</v>
      </c>
      <c r="K15" s="11" t="s">
        <v>82</v>
      </c>
      <c r="L15" s="11" t="s">
        <v>58</v>
      </c>
      <c r="M15" s="12" t="s">
        <v>131</v>
      </c>
    </row>
    <row r="16" customFormat="false" ht="69.75" hidden="false" customHeight="true" outlineLevel="0" collapsed="false">
      <c r="A16" s="11" t="s">
        <v>132</v>
      </c>
      <c r="B16" s="12" t="s">
        <v>133</v>
      </c>
      <c r="C16" s="12" t="s">
        <v>134</v>
      </c>
      <c r="D16" s="12" t="s">
        <v>52</v>
      </c>
      <c r="E16" s="12" t="s">
        <v>135</v>
      </c>
      <c r="F16" s="12" t="s">
        <v>136</v>
      </c>
      <c r="G16" s="12" t="s">
        <v>137</v>
      </c>
      <c r="H16" s="12" t="s">
        <v>138</v>
      </c>
      <c r="I16" s="13" t="s">
        <v>57</v>
      </c>
      <c r="J16" s="11" t="s">
        <v>58</v>
      </c>
      <c r="K16" s="11" t="s">
        <v>82</v>
      </c>
      <c r="L16" s="11" t="s">
        <v>58</v>
      </c>
      <c r="M16" s="12" t="s">
        <v>139</v>
      </c>
    </row>
    <row r="17" customFormat="false" ht="69.75" hidden="false" customHeight="true" outlineLevel="0" collapsed="false">
      <c r="A17" s="11" t="s">
        <v>140</v>
      </c>
      <c r="B17" s="12" t="s">
        <v>141</v>
      </c>
      <c r="C17" s="12" t="s">
        <v>142</v>
      </c>
      <c r="D17" s="12" t="s">
        <v>52</v>
      </c>
      <c r="E17" s="12" t="s">
        <v>143</v>
      </c>
      <c r="F17" s="12" t="s">
        <v>136</v>
      </c>
      <c r="G17" s="12" t="s">
        <v>144</v>
      </c>
      <c r="H17" s="12" t="s">
        <v>145</v>
      </c>
      <c r="I17" s="14" t="s">
        <v>98</v>
      </c>
      <c r="J17" s="11" t="s">
        <v>123</v>
      </c>
      <c r="K17" s="11" t="s">
        <v>123</v>
      </c>
      <c r="L17" s="11" t="s">
        <v>146</v>
      </c>
      <c r="M17" s="12" t="s">
        <v>147</v>
      </c>
    </row>
    <row r="18" customFormat="false" ht="69.75" hidden="false" customHeight="true" outlineLevel="0" collapsed="false">
      <c r="A18" s="11" t="s">
        <v>148</v>
      </c>
      <c r="B18" s="12" t="s">
        <v>102</v>
      </c>
      <c r="C18" s="12" t="s">
        <v>149</v>
      </c>
      <c r="D18" s="12" t="s">
        <v>52</v>
      </c>
      <c r="E18" s="12" t="s">
        <v>150</v>
      </c>
      <c r="F18" s="12" t="s">
        <v>151</v>
      </c>
      <c r="G18" s="12" t="s">
        <v>152</v>
      </c>
      <c r="H18" s="12" t="s">
        <v>153</v>
      </c>
      <c r="I18" s="14" t="s">
        <v>98</v>
      </c>
      <c r="J18" s="11" t="s">
        <v>59</v>
      </c>
      <c r="K18" s="11" t="s">
        <v>59</v>
      </c>
      <c r="L18" s="11" t="s">
        <v>154</v>
      </c>
      <c r="M18" s="12" t="s">
        <v>155</v>
      </c>
    </row>
    <row r="19" customFormat="false" ht="69.75" hidden="false" customHeight="true" outlineLevel="0" collapsed="false">
      <c r="A19" s="11" t="s">
        <v>156</v>
      </c>
      <c r="B19" s="12" t="s">
        <v>50</v>
      </c>
      <c r="C19" s="12" t="s">
        <v>157</v>
      </c>
      <c r="D19" s="12" t="s">
        <v>158</v>
      </c>
      <c r="E19" s="12" t="s">
        <v>159</v>
      </c>
      <c r="F19" s="12" t="s">
        <v>54</v>
      </c>
      <c r="G19" s="12" t="s">
        <v>160</v>
      </c>
      <c r="H19" s="12" t="s">
        <v>161</v>
      </c>
      <c r="I19" s="13" t="s">
        <v>57</v>
      </c>
      <c r="J19" s="11" t="s">
        <v>58</v>
      </c>
      <c r="K19" s="11" t="s">
        <v>59</v>
      </c>
      <c r="L19" s="11" t="s">
        <v>58</v>
      </c>
      <c r="M19" s="12" t="s">
        <v>162</v>
      </c>
    </row>
    <row r="20" customFormat="false" ht="69.75" hidden="false" customHeight="true" outlineLevel="0" collapsed="false">
      <c r="A20" s="11" t="s">
        <v>163</v>
      </c>
      <c r="B20" s="12" t="s">
        <v>50</v>
      </c>
      <c r="C20" s="12" t="s">
        <v>164</v>
      </c>
      <c r="D20" s="12" t="s">
        <v>165</v>
      </c>
      <c r="E20" s="12" t="s">
        <v>166</v>
      </c>
      <c r="F20" s="12" t="s">
        <v>54</v>
      </c>
      <c r="G20" s="12" t="s">
        <v>167</v>
      </c>
      <c r="H20" s="12" t="s">
        <v>168</v>
      </c>
      <c r="I20" s="13" t="s">
        <v>57</v>
      </c>
      <c r="J20" s="11" t="s">
        <v>58</v>
      </c>
      <c r="K20" s="11" t="s">
        <v>59</v>
      </c>
      <c r="L20" s="11" t="s">
        <v>58</v>
      </c>
      <c r="M20" s="12" t="s">
        <v>169</v>
      </c>
    </row>
    <row r="21" customFormat="false" ht="69.75" hidden="false" customHeight="true" outlineLevel="0" collapsed="false">
      <c r="A21" s="11" t="s">
        <v>170</v>
      </c>
      <c r="B21" s="12" t="s">
        <v>171</v>
      </c>
      <c r="C21" s="12" t="s">
        <v>172</v>
      </c>
      <c r="D21" s="12" t="s">
        <v>173</v>
      </c>
      <c r="E21" s="12" t="s">
        <v>174</v>
      </c>
      <c r="F21" s="12" t="s">
        <v>54</v>
      </c>
      <c r="G21" s="12" t="s">
        <v>175</v>
      </c>
      <c r="H21" s="12" t="s">
        <v>176</v>
      </c>
      <c r="I21" s="14" t="s">
        <v>98</v>
      </c>
      <c r="J21" s="11" t="s">
        <v>82</v>
      </c>
      <c r="K21" s="11" t="s">
        <v>82</v>
      </c>
      <c r="L21" s="11" t="s">
        <v>177</v>
      </c>
      <c r="M21" s="12" t="s">
        <v>178</v>
      </c>
    </row>
    <row r="22" customFormat="false" ht="69.75" hidden="false" customHeight="true" outlineLevel="0" collapsed="false">
      <c r="A22" s="11" t="s">
        <v>179</v>
      </c>
      <c r="B22" s="12" t="s">
        <v>180</v>
      </c>
      <c r="C22" s="12" t="s">
        <v>181</v>
      </c>
      <c r="D22" s="12" t="s">
        <v>52</v>
      </c>
      <c r="E22" s="12" t="s">
        <v>182</v>
      </c>
      <c r="F22" s="12" t="s">
        <v>183</v>
      </c>
      <c r="G22" s="12" t="s">
        <v>184</v>
      </c>
      <c r="H22" s="12" t="s">
        <v>185</v>
      </c>
      <c r="I22" s="13" t="s">
        <v>57</v>
      </c>
      <c r="J22" s="11" t="s">
        <v>58</v>
      </c>
      <c r="K22" s="11" t="s">
        <v>123</v>
      </c>
      <c r="L22" s="11" t="s">
        <v>58</v>
      </c>
      <c r="M22" s="12" t="s">
        <v>186</v>
      </c>
    </row>
    <row r="23" customFormat="false" ht="69.75" hidden="false" customHeight="true" outlineLevel="0" collapsed="false">
      <c r="A23" s="11" t="s">
        <v>187</v>
      </c>
      <c r="B23" s="12" t="s">
        <v>188</v>
      </c>
      <c r="C23" s="12" t="s">
        <v>189</v>
      </c>
      <c r="D23" s="12" t="s">
        <v>52</v>
      </c>
      <c r="E23" s="12" t="s">
        <v>190</v>
      </c>
      <c r="F23" s="12" t="s">
        <v>54</v>
      </c>
      <c r="G23" s="12" t="s">
        <v>191</v>
      </c>
      <c r="H23" s="12" t="s">
        <v>192</v>
      </c>
      <c r="I23" s="13" t="s">
        <v>57</v>
      </c>
      <c r="J23" s="11" t="s">
        <v>58</v>
      </c>
      <c r="K23" s="11" t="s">
        <v>82</v>
      </c>
      <c r="L23" s="11" t="s">
        <v>58</v>
      </c>
      <c r="M23" s="12" t="s">
        <v>193</v>
      </c>
    </row>
    <row r="24" customFormat="false" ht="69.75" hidden="false" customHeight="true" outlineLevel="0" collapsed="false">
      <c r="A24" s="11" t="s">
        <v>194</v>
      </c>
      <c r="B24" s="12" t="s">
        <v>195</v>
      </c>
      <c r="C24" s="12" t="s">
        <v>196</v>
      </c>
      <c r="D24" s="12" t="s">
        <v>197</v>
      </c>
      <c r="E24" s="12" t="s">
        <v>198</v>
      </c>
      <c r="F24" s="12" t="s">
        <v>199</v>
      </c>
      <c r="G24" s="12" t="s">
        <v>200</v>
      </c>
      <c r="H24" s="12" t="s">
        <v>201</v>
      </c>
      <c r="I24" s="13" t="s">
        <v>57</v>
      </c>
      <c r="J24" s="11" t="s">
        <v>58</v>
      </c>
      <c r="K24" s="11" t="s">
        <v>82</v>
      </c>
      <c r="L24" s="11" t="s">
        <v>58</v>
      </c>
      <c r="M24" s="12" t="s">
        <v>202</v>
      </c>
    </row>
    <row r="25" customFormat="false" ht="69.75" hidden="false" customHeight="true" outlineLevel="0" collapsed="false">
      <c r="A25" s="11" t="s">
        <v>203</v>
      </c>
      <c r="B25" s="12" t="s">
        <v>204</v>
      </c>
      <c r="C25" s="12" t="s">
        <v>205</v>
      </c>
      <c r="D25" s="12" t="s">
        <v>52</v>
      </c>
      <c r="E25" s="12" t="s">
        <v>206</v>
      </c>
      <c r="F25" s="12" t="s">
        <v>207</v>
      </c>
      <c r="G25" s="12" t="s">
        <v>208</v>
      </c>
      <c r="H25" s="12" t="s">
        <v>209</v>
      </c>
      <c r="I25" s="13" t="s">
        <v>57</v>
      </c>
      <c r="J25" s="11" t="s">
        <v>58</v>
      </c>
      <c r="K25" s="11" t="s">
        <v>123</v>
      </c>
      <c r="L25" s="11" t="s">
        <v>58</v>
      </c>
      <c r="M25" s="12" t="s">
        <v>210</v>
      </c>
    </row>
  </sheetData>
  <mergeCells count="2">
    <mergeCell ref="A1:M1"/>
    <mergeCell ref="A2:M2"/>
  </mergeCells>
  <dataValidations count="2">
    <dataValidation allowBlank="false" errorStyle="stop" operator="between" showDropDown="false" showErrorMessage="false" showInputMessage="false" sqref="I6:I25" type="list">
      <formula1>"Pass,Fail,Blocked,Not Executed"</formula1>
      <formula2>0</formula2>
    </dataValidation>
    <dataValidation allowBlank="false" errorStyle="stop" operator="between" showDropDown="false" showErrorMessage="false" showInputMessage="false" sqref="J6:K25" type="list">
      <formula1>"Critical,High,Medium,Low,-"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42"/>
    <col collapsed="false" customWidth="true" hidden="false" outlineLevel="0" max="5" min="4" style="0" width="11"/>
    <col collapsed="false" customWidth="true" hidden="false" outlineLevel="0" max="6" min="6" style="0" width="14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9" min="9" style="0" width="15"/>
    <col collapsed="false" customWidth="true" hidden="false" outlineLevel="0" max="10" min="10" style="0" width="16"/>
    <col collapsed="false" customWidth="true" hidden="false" outlineLevel="0" max="11" min="11" style="0" width="22"/>
  </cols>
  <sheetData>
    <row r="1" customFormat="false" ht="24" hidden="false" customHeight="true" outlineLevel="0" collapsed="false">
      <c r="A1" s="9" t="s">
        <v>211</v>
      </c>
      <c r="B1" s="9"/>
      <c r="C1" s="9"/>
      <c r="D1" s="9"/>
      <c r="E1" s="9"/>
      <c r="F1" s="9"/>
      <c r="G1" s="9"/>
      <c r="H1" s="9"/>
      <c r="I1" s="9"/>
      <c r="J1" s="9"/>
      <c r="K1" s="9"/>
    </row>
    <row r="4" customFormat="false" ht="19.5" hidden="false" customHeight="true" outlineLevel="0" collapsed="false">
      <c r="A4" s="6" t="s">
        <v>212</v>
      </c>
      <c r="B4" s="6" t="s">
        <v>213</v>
      </c>
      <c r="C4" s="6" t="s">
        <v>214</v>
      </c>
      <c r="D4" s="6" t="s">
        <v>45</v>
      </c>
      <c r="E4" s="6" t="s">
        <v>46</v>
      </c>
      <c r="F4" s="6" t="s">
        <v>7</v>
      </c>
      <c r="G4" s="6" t="s">
        <v>44</v>
      </c>
      <c r="H4" s="6" t="s">
        <v>215</v>
      </c>
      <c r="I4" s="6" t="s">
        <v>216</v>
      </c>
      <c r="J4" s="6" t="s">
        <v>217</v>
      </c>
      <c r="K4" s="6" t="s">
        <v>218</v>
      </c>
    </row>
    <row r="5" customFormat="false" ht="33.75" hidden="false" customHeight="true" outlineLevel="0" collapsed="false">
      <c r="A5" s="11" t="s">
        <v>99</v>
      </c>
      <c r="B5" s="11" t="s">
        <v>91</v>
      </c>
      <c r="C5" s="12" t="s">
        <v>219</v>
      </c>
      <c r="D5" s="15" t="s">
        <v>82</v>
      </c>
      <c r="E5" s="11" t="s">
        <v>82</v>
      </c>
      <c r="F5" s="12" t="s">
        <v>220</v>
      </c>
      <c r="G5" s="11" t="s">
        <v>221</v>
      </c>
      <c r="H5" s="12" t="s">
        <v>20</v>
      </c>
      <c r="I5" s="11" t="s">
        <v>22</v>
      </c>
      <c r="J5" s="12" t="s">
        <v>222</v>
      </c>
      <c r="K5" s="12" t="s">
        <v>223</v>
      </c>
    </row>
    <row r="6" customFormat="false" ht="33.75" hidden="false" customHeight="true" outlineLevel="0" collapsed="false">
      <c r="A6" s="11" t="s">
        <v>146</v>
      </c>
      <c r="B6" s="11" t="s">
        <v>140</v>
      </c>
      <c r="C6" s="12" t="s">
        <v>224</v>
      </c>
      <c r="D6" s="16" t="s">
        <v>123</v>
      </c>
      <c r="E6" s="11" t="s">
        <v>123</v>
      </c>
      <c r="F6" s="12" t="s">
        <v>220</v>
      </c>
      <c r="G6" s="11" t="s">
        <v>221</v>
      </c>
      <c r="H6" s="12" t="s">
        <v>20</v>
      </c>
      <c r="I6" s="11" t="s">
        <v>22</v>
      </c>
      <c r="J6" s="12" t="s">
        <v>225</v>
      </c>
      <c r="K6" s="12" t="s">
        <v>223</v>
      </c>
    </row>
    <row r="7" customFormat="false" ht="33.75" hidden="false" customHeight="true" outlineLevel="0" collapsed="false">
      <c r="A7" s="11" t="s">
        <v>154</v>
      </c>
      <c r="B7" s="11" t="s">
        <v>148</v>
      </c>
      <c r="C7" s="12" t="s">
        <v>226</v>
      </c>
      <c r="D7" s="14" t="s">
        <v>59</v>
      </c>
      <c r="E7" s="11" t="s">
        <v>59</v>
      </c>
      <c r="F7" s="12" t="s">
        <v>220</v>
      </c>
      <c r="G7" s="11" t="s">
        <v>221</v>
      </c>
      <c r="H7" s="12" t="s">
        <v>20</v>
      </c>
      <c r="I7" s="11" t="s">
        <v>22</v>
      </c>
      <c r="J7" s="12" t="s">
        <v>222</v>
      </c>
      <c r="K7" s="12" t="s">
        <v>223</v>
      </c>
    </row>
    <row r="8" customFormat="false" ht="33.75" hidden="false" customHeight="true" outlineLevel="0" collapsed="false">
      <c r="A8" s="11" t="s">
        <v>177</v>
      </c>
      <c r="B8" s="11" t="s">
        <v>170</v>
      </c>
      <c r="C8" s="12" t="s">
        <v>227</v>
      </c>
      <c r="D8" s="15" t="s">
        <v>82</v>
      </c>
      <c r="E8" s="11" t="s">
        <v>82</v>
      </c>
      <c r="F8" s="12" t="s">
        <v>220</v>
      </c>
      <c r="G8" s="11" t="s">
        <v>221</v>
      </c>
      <c r="H8" s="12" t="s">
        <v>20</v>
      </c>
      <c r="I8" s="11" t="s">
        <v>22</v>
      </c>
      <c r="J8" s="12" t="s">
        <v>222</v>
      </c>
      <c r="K8" s="12" t="s">
        <v>223</v>
      </c>
    </row>
  </sheetData>
  <mergeCells count="1">
    <mergeCell ref="A1:K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2026-08-03T06:00:26Z</dcterms:created>
  <dc:creator>openpyxl</dc:creator>
  <dc:description/>
  <dc:language>en-US</dc:language>
  <cp:lastModifiedBy/>
  <dcterms:modified xsi:type="dcterms:W3CDTF">2026-08-03T06:00:26Z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