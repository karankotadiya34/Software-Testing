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Execution Summary" sheetId="2" state="visible" r:id="rId4"/>
  </sheets>
  <definedNames>
    <definedName function="false" hidden="true" localSheetId="0" name="_xlnm._FilterDatabase" vbProcedure="false">'Test Cases'!$A$4:$O$20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<sst xmlns="http://schemas.openxmlformats.org/spreadsheetml/2006/main" count="273" uniqueCount="183">
  <si>
    <t xml:space="preserve">Practical 6 — Automation Test Execution Suite (Login Module)</t>
  </si>
  <si>
    <t xml:space="preserve">Application Under Test: https://practicetestautomation.com/practice-test-login/   |   Automation Tool: Playwright (TypeScript)   |   Suite Version: 1.0</t>
  </si>
  <si>
    <t xml:space="preserve">Test Case ID</t>
  </si>
  <si>
    <t xml:space="preserve">Module</t>
  </si>
  <si>
    <t xml:space="preserve">Test Scenario</t>
  </si>
  <si>
    <t xml:space="preserve">Priority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</si>
  <si>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</si>
  <si>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</si>
  <si>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</si>
  <si>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</si>
  <si>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Execution Status</t>
  </si>
  <si>
    <t xml:space="preserve">Execution Date</t>
  </si>
  <si>
    <t xml:space="preserve">Tester</t>
  </si>
  <si>
    <t xml:space="preserve">Environment</t>
  </si>
  <si>
    <t xml:space="preserve">Automation Script Reference</t>
  </si>
  <si>
    <t xml:space="preserve">Screenshot Reference</t>
  </si>
  <si>
    <t xml:space="preserve">Comments</t>
  </si>
  <si>
    <t xml:space="preserve">TC_AUTO_01</t>
  </si>
  <si>
    <t xml:space="preserve">Login</t>
  </si>
  <si>
    <t xml:space="preserve">Verify successful login with valid credentials</t>
  </si>
  <si>
    <t xml:space="preserve">High</t>
  </si>
  <si>
    <t xml:space="preserve">1. Navigate to login page
2. Enter username 'student'
3. Enter password 'Password123'
4. Click Submit button
5. Assert redirect URL and success message</t>
  </si>
  <si>
    <t xml:space="preserve">Username: student
Password: Password123</t>
  </si>
  <si>
    <t xml:space="preserve">URL contains '/logged-in-successfully/'; heading 'Congratulations student' and 'Log out' button are displayed</t>
  </si>
  <si>
    <t xml:space="preserve">URL and heading matched expected values; Log out button visible and clickable</t>
  </si>
  <si>
    <t xml:space="preserve">Pass</t>
  </si>
  <si>
    <t xml:space="preserve">03-Aug-2026</t>
  </si>
  <si>
    <t xml:space="preserve">Niharika</t>
  </si>
  <si>
    <t xml:space="preserve">Windows 11 | Chromium 126 | Playwright v1.45 (Headless CI Runner)</t>
  </si>
  <si>
    <t xml:space="preserve">login.spec.ts :: TC_AUTO_01</t>
  </si>
  <si>
    <t xml:space="preserve">Screenshot_TC_AUTO_01.png</t>
  </si>
  <si>
    <t xml:space="preserve">Core positive flow validated using expect(page).toHaveURL and toBeVisible assertions</t>
  </si>
  <si>
    <t xml:space="preserve">TC_AUTO_02</t>
  </si>
  <si>
    <t xml:space="preserve">Verify error message for invalid username</t>
  </si>
  <si>
    <t xml:space="preserve">1. Navigate to login page
2. Enter username 'incorrectUser'
3. Enter password 'Password123'
4. Click Submit
5. Assert #error locator text</t>
  </si>
  <si>
    <t xml:space="preserve">Username: incorrectUser
Password: Password123</t>
  </si>
  <si>
    <t xml:space="preserve">Error banner displays 'Your username is invalid!'; user remains on login page</t>
  </si>
  <si>
    <t xml:space="preserve">Error text matched exactly; page URL unchanged</t>
  </si>
  <si>
    <t xml:space="preserve">login.spec.ts :: TC_AUTO_02</t>
  </si>
  <si>
    <t xml:space="preserve">Screenshot_TC_AUTO_02.png</t>
  </si>
  <si>
    <t xml:space="preserve">Negative flow — username validation confirmed</t>
  </si>
  <si>
    <t xml:space="preserve">TC_AUTO_03</t>
  </si>
  <si>
    <t xml:space="preserve">Verify error message for invalid password</t>
  </si>
  <si>
    <t xml:space="preserve">1. Navigate to login page
2. Enter username 'student'
3. Enter password 'incorrectPassword'
4. Click Submit
5. Assert #error locator text</t>
  </si>
  <si>
    <t xml:space="preserve">Username: student
Password: incorrectPassword</t>
  </si>
  <si>
    <t xml:space="preserve">Error banner displays 'Your password is invalid!'; user remains on login page</t>
  </si>
  <si>
    <t xml:space="preserve">login.spec.ts :: TC_AUTO_03</t>
  </si>
  <si>
    <t xml:space="preserve">Screenshot_TC_AUTO_03.png</t>
  </si>
  <si>
    <t xml:space="preserve">Negative flow — password validation confirmed</t>
  </si>
  <si>
    <t xml:space="preserve">TC_AUTO_04</t>
  </si>
  <si>
    <t xml:space="preserve">Verify error message when username field is blank</t>
  </si>
  <si>
    <t xml:space="preserve">Medium</t>
  </si>
  <si>
    <t xml:space="preserve">1. Navigate to login page
2. Leave Username field empty
3. Enter password 'Password123'
4. Click Submit
5. Assert #error locator text</t>
  </si>
  <si>
    <t xml:space="preserve">Username: (blank)
Password: Password123</t>
  </si>
  <si>
    <t xml:space="preserve">Error 'Your username is invalid!' displayed (blank does not equal the valid username)</t>
  </si>
  <si>
    <t xml:space="preserve">Error text matched expected value</t>
  </si>
  <si>
    <t xml:space="preserve">login.spec.ts :: TC_AUTO_04</t>
  </si>
  <si>
    <t xml:space="preserve">Screenshot_TC_AUTO_04.png</t>
  </si>
  <si>
    <t xml:space="preserve">Boundary condition — empty required field</t>
  </si>
  <si>
    <t xml:space="preserve">TC_AUTO_05</t>
  </si>
  <si>
    <t xml:space="preserve">Verify error message when password field is blank</t>
  </si>
  <si>
    <t xml:space="preserve">1. Navigate to login page
2. Enter username 'student'
3. Leave Password field empty
4. Click Submit
5. Assert #error locator text</t>
  </si>
  <si>
    <t xml:space="preserve">Username: student
Password: (blank)</t>
  </si>
  <si>
    <t xml:space="preserve">Error 'Your password is invalid!' displayed (blank does not equal the valid password)</t>
  </si>
  <si>
    <t xml:space="preserve">login.spec.ts :: TC_AUTO_05</t>
  </si>
  <si>
    <t xml:space="preserve">Screenshot_TC_AUTO_05.png</t>
  </si>
  <si>
    <t xml:space="preserve">TC_AUTO_06</t>
  </si>
  <si>
    <t xml:space="preserve">Verify validation precedence when both fields are blank</t>
  </si>
  <si>
    <t xml:space="preserve">1. Navigate to login page
2. Leave Username and Password fields empty
3. Click Submit
4. Assert #error locator text</t>
  </si>
  <si>
    <t xml:space="preserve">Username: (blank)
Password: (blank)</t>
  </si>
  <si>
    <t xml:space="preserve">Error 'Your username is invalid!' displayed — username is validated before password</t>
  </si>
  <si>
    <t xml:space="preserve">Error text matched; confirms username check executes first in application logic</t>
  </si>
  <si>
    <t xml:space="preserve">login.spec.ts :: TC_AUTO_06</t>
  </si>
  <si>
    <t xml:space="preserve">Screenshot_TC_AUTO_06.png</t>
  </si>
  <si>
    <t xml:space="preserve">Confirms field validation order/precedence</t>
  </si>
  <si>
    <t xml:space="preserve">TC_AUTO_07</t>
  </si>
  <si>
    <t xml:space="preserve">Security</t>
  </si>
  <si>
    <t xml:space="preserve">Verify handling of SQL injection payload in username field</t>
  </si>
  <si>
    <t xml:space="preserve">1. Navigate to login page
2. Enter payload ' OR '1'='1 in Username
3. Enter password 'Password123'
4. Click Submit
5. Assert no authentication bypass</t>
  </si>
  <si>
    <t xml:space="preserve">Username: ' OR '1'='1
Password: Password123</t>
  </si>
  <si>
    <t xml:space="preserve">Login rejected; error 'Your username is invalid!'; no authentication bypass occurs</t>
  </si>
  <si>
    <t xml:space="preserve">Payload treated as a literal string and rejected as expected; no bypass observed</t>
  </si>
  <si>
    <t xml:space="preserve">security.spec.ts :: TC_AUTO_07</t>
  </si>
  <si>
    <t xml:space="preserve">Screenshot_TC_AUTO_07.png</t>
  </si>
  <si>
    <t xml:space="preserve">Confirms no client-exposed SQL injection vulnerability on login form</t>
  </si>
  <si>
    <t xml:space="preserve">TC_AUTO_08</t>
  </si>
  <si>
    <t xml:space="preserve">Verify handling of XSS script payload in password field</t>
  </si>
  <si>
    <t xml:space="preserve">1. Navigate to login page
2. Enter username 'student'
3. Enter payload &lt;script&gt;alert(1)&lt;/script&gt; in Password
4. Click Submit
5. Assert no script execution</t>
  </si>
  <si>
    <t xml:space="preserve">Username: student
Password: &lt;script&gt;alert(1)&lt;/script&gt;</t>
  </si>
  <si>
    <t xml:space="preserve">Script is not executed; input rendered/escaped as plain text; login rejected with password error</t>
  </si>
  <si>
    <t xml:space="preserve">No dialog/alert triggered; payload escaped; error message displayed as expected</t>
  </si>
  <si>
    <t xml:space="preserve">security.spec.ts :: TC_AUTO_08</t>
  </si>
  <si>
    <t xml:space="preserve">Screenshot_TC_AUTO_08.png</t>
  </si>
  <si>
    <t xml:space="preserve">Confirms input is not reflected unsanitized on the page</t>
  </si>
  <si>
    <t xml:space="preserve">TC_AUTO_09</t>
  </si>
  <si>
    <t xml:space="preserve">UI Validation</t>
  </si>
  <si>
    <t xml:space="preserve">Verify password field masks input characters</t>
  </si>
  <si>
    <t xml:space="preserve">Low</t>
  </si>
  <si>
    <t xml:space="preserve">1. Navigate to login page
2. Enter password 'Password123'
3. Read 'type' attribute of the password input via getAttribute()</t>
  </si>
  <si>
    <t xml:space="preserve">Password: Password123</t>
  </si>
  <si>
    <t xml:space="preserve">Input element 'type' attribute equals 'password'; characters are masked on screen</t>
  </si>
  <si>
    <t xml:space="preserve">getAttribute('type') returned 'password'; characters masked</t>
  </si>
  <si>
    <t xml:space="preserve">ui.spec.ts :: TC_AUTO_09</t>
  </si>
  <si>
    <t xml:space="preserve">Screenshot_TC_AUTO_09.png</t>
  </si>
  <si>
    <t xml:space="preserve">Static attribute assertion, no visual OCR required</t>
  </si>
  <si>
    <t xml:space="preserve">TC_AUTO_10</t>
  </si>
  <si>
    <t xml:space="preserve">Verify login page title</t>
  </si>
  <si>
    <t xml:space="preserve">1. Navigate to login page
2. Assert document title</t>
  </si>
  <si>
    <t xml:space="preserve">N/A</t>
  </si>
  <si>
    <t xml:space="preserve">Page title contains 'Test Login | Practice Test Automation'</t>
  </si>
  <si>
    <t xml:space="preserve">Title matched expected string exactly</t>
  </si>
  <si>
    <t xml:space="preserve">ui.spec.ts :: TC_AUTO_10</t>
  </si>
  <si>
    <t xml:space="preserve">Screenshot_TC_AUTO_10.png</t>
  </si>
  <si>
    <t xml:space="preserve">Confirms correct page loaded before executing dependent test cases</t>
  </si>
  <si>
    <t xml:space="preserve">TC_AUTO_11</t>
  </si>
  <si>
    <t xml:space="preserve">Verify exact redirect URL after successful login</t>
  </si>
  <si>
    <t xml:space="preserve">1. Perform valid login (student / Password123)
2. Assert page.url() equals expected success URL exactly</t>
  </si>
  <si>
    <t xml:space="preserve">URL equals '.../logged-in-successfully/' exactly (not just 'contains')</t>
  </si>
  <si>
    <t xml:space="preserve">toHaveURL assertion passed with exact match</t>
  </si>
  <si>
    <t xml:space="preserve">login.spec.ts :: TC_AUTO_11</t>
  </si>
  <si>
    <t xml:space="preserve">Screenshot_TC_AUTO_11.png</t>
  </si>
  <si>
    <t xml:space="preserve">Stricter follow-up check to TC_AUTO_01</t>
  </si>
  <si>
    <t xml:space="preserve">TC_AUTO_12</t>
  </si>
  <si>
    <t xml:space="preserve">Logout</t>
  </si>
  <si>
    <t xml:space="preserve">Verify Logout button visibility and redirect after logout</t>
  </si>
  <si>
    <t xml:space="preserve">1. Perform valid login
2. Click 'Log out' button
3. Assert redirect to /practice-test-login/
4. Assert login form is visible again</t>
  </si>
  <si>
    <t xml:space="preserve">User is redirected to the login page; login form (username/password fields) is visible</t>
  </si>
  <si>
    <t xml:space="preserve">Redirect and form visibility confirmed</t>
  </si>
  <si>
    <t xml:space="preserve">logout.spec.ts :: TC_AUTO_12</t>
  </si>
  <si>
    <t xml:space="preserve">Screenshot_TC_AUTO_12.png</t>
  </si>
  <si>
    <t xml:space="preserve">Confirms logout flow terminates correctly</t>
  </si>
  <si>
    <t xml:space="preserve">TC_AUTO_13</t>
  </si>
  <si>
    <t xml:space="preserve">Verify form submission using Enter key</t>
  </si>
  <si>
    <t xml:space="preserve">1. Navigate to login page
2. Enter valid credentials
3. Press 'Enter' key instead of clicking Submit
4. Assert successful redirect</t>
  </si>
  <si>
    <t xml:space="preserve">Form submits identically to a Submit click; redirect to success page occurs</t>
  </si>
  <si>
    <t xml:space="preserve">Enter key triggered form submission; redirect confirmed</t>
  </si>
  <si>
    <t xml:space="preserve">login.spec.ts :: TC_AUTO_13</t>
  </si>
  <si>
    <t xml:space="preserve">Screenshot_TC_AUTO_13.png</t>
  </si>
  <si>
    <t xml:space="preserve">Keyboard-accessibility / alternate-submission check</t>
  </si>
  <si>
    <t xml:space="preserve">TC_AUTO_14</t>
  </si>
  <si>
    <t xml:space="preserve">Performance</t>
  </si>
  <si>
    <t xml:space="preserve">Verify login page load time is under 2 seconds</t>
  </si>
  <si>
    <t xml:space="preserve">1. Navigate to login page
2. Capture navigation timing via Playwright page.goto() + Performance API
3. Assert load time &lt; 2000ms (averaged over 3 runs)</t>
  </si>
  <si>
    <t xml:space="preserve">Page fully loaded (DOMContentLoaded to load event) within 2000ms</t>
  </si>
  <si>
    <t xml:space="preserve">Average load time recorded at 2412ms across 3 consecutive CI runs — threshold exceeded</t>
  </si>
  <si>
    <t xml:space="preserve">Fail</t>
  </si>
  <si>
    <t xml:space="preserve">performance.spec.ts :: TC_AUTO_14</t>
  </si>
  <si>
    <t xml:space="preserve">Screenshot_TC_AUTO_14.png</t>
  </si>
  <si>
    <t xml:space="preserve">Low severity; variance likely attributable to shared CI network bandwidth rather than an application defect — recommend re-run on a dedicated runner before raising a defect</t>
  </si>
  <si>
    <t xml:space="preserve">TC_AUTO_15</t>
  </si>
  <si>
    <t xml:space="preserve">Session</t>
  </si>
  <si>
    <t xml:space="preserve">Verify session termination via browser Back button after logout</t>
  </si>
  <si>
    <t xml:space="preserve">1. Perform valid login
2. Click Logout
3. Click browser Back button
4. Assert authenticated content is not accessible</t>
  </si>
  <si>
    <t xml:space="preserve">User remains logged out; Back navigation does not restore the authenticated view</t>
  </si>
  <si>
    <t xml:space="preserve">Not Executed</t>
  </si>
  <si>
    <t xml:space="preserve">Blocked</t>
  </si>
  <si>
    <t xml:space="preserve">session.spec.ts :: TC_AUTO_15</t>
  </si>
  <si>
    <t xml:space="preserve">Not Captured</t>
  </si>
  <si>
    <t xml:space="preserve">Application under test exposes no session cookie or protected route on the success page (it is a static confirmation page), so session invalidation cannot be verified as designed. Blocked pending confirmation from the application owner on intended session behavior.</t>
  </si>
  <si>
    <t xml:space="preserve">TC_AUTO_16</t>
  </si>
  <si>
    <t xml:space="preserve">Cross-Browser</t>
  </si>
  <si>
    <t xml:space="preserve">Re-execute core login suite (TC_AUTO_01–13) on Firefox and WebKit</t>
  </si>
  <si>
    <t xml:space="preserve">1. Configure Playwright projects for Firefox and WebKit
2. Re-run TC_AUTO_01 through TC_AUTO_13
3. Compare results against Chromium baseline</t>
  </si>
  <si>
    <t xml:space="preserve">Same data as TC_AUTO_01–13</t>
  </si>
  <si>
    <t xml:space="preserve">All test cases pass consistently across Chromium, Firefox, and WebKit</t>
  </si>
  <si>
    <t xml:space="preserve">Deferred</t>
  </si>
  <si>
    <t xml:space="preserve">Windows 11 | Firefox 128 / WebKit 17.4 | Playwright v1.45 (CI Runner)</t>
  </si>
  <si>
    <t xml:space="preserve">cross-browser.spec.ts :: TC_AUTO_16</t>
  </si>
  <si>
    <t xml:space="preserve">Deferred to next sprint — current CI runner is licensed/configured for Chromium execution only; cross-browser grid expansion is planned in the automation roadmap</t>
  </si>
  <si>
    <t xml:space="preserve">Test Execution Summary — Practical 6 (Login Module Automation)</t>
  </si>
  <si>
    <t xml:space="preserve">Generated from 'Test Cases' sheet | Execution Date: 03-Aug-2026</t>
  </si>
  <si>
    <t xml:space="preserve">Metric</t>
  </si>
  <si>
    <t xml:space="preserve">Value</t>
  </si>
  <si>
    <t xml:space="preserve">Percentage</t>
  </si>
  <si>
    <t xml:space="preserve">Notes</t>
  </si>
  <si>
    <t xml:space="preserve">Total Test Cases</t>
  </si>
  <si>
    <t xml:space="preserve">Total automated test cases in suite</t>
  </si>
  <si>
    <t xml:space="preserve">Passed</t>
  </si>
  <si>
    <t xml:space="preserve">Executed and met expected result</t>
  </si>
  <si>
    <t xml:space="preserve">Failed</t>
  </si>
  <si>
    <t xml:space="preserve">Executed but result deviated from expected</t>
  </si>
  <si>
    <t xml:space="preserve">Could not be executed due to an environment/application limitation</t>
  </si>
  <si>
    <t xml:space="preserve">Postponed to a future sprint by test-plan decision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</si>
</sst>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D9D9D9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42"/>
    <col collapsed="false" customWidth="true" hidden="false" outlineLevel="0" max="6" min="6" style="0" width="20"/>
    <col collapsed="false" customWidth="true" hidden="false" outlineLevel="0" max="7" min="7" style="0" width="34"/>
    <col collapsed="false" customWidth="true" hidden="false" outlineLevel="0" max="8" min="8" style="0" width="30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30"/>
    <col collapsed="false" customWidth="true" hidden="false" outlineLevel="0" max="13" min="13" style="0" width="24"/>
    <col collapsed="false" customWidth="true" hidden="false" outlineLevel="0" max="14" min="14" style="0" width="20"/>
    <col collapsed="false" customWidth="true" hidden="false" outlineLevel="0" max="15" min="15" style="0" width="4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78" hidden="false" customHeight="true" outlineLevel="0" collapsed="false">
      <c r="A5" s="4" t="s">
        <v>17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5" t="s">
        <v>23</v>
      </c>
      <c r="H5" s="5" t="s">
        <v>24</v>
      </c>
      <c r="I5" s="6" t="s">
        <v>25</v>
      </c>
      <c r="J5" s="5" t="s">
        <v>26</v>
      </c>
      <c r="K5" s="5" t="s">
        <v>27</v>
      </c>
      <c r="L5" s="5" t="s">
        <v>28</v>
      </c>
      <c r="M5" s="5" t="s">
        <v>29</v>
      </c>
      <c r="N5" s="5" t="s">
        <v>30</v>
      </c>
      <c r="O5" s="5" t="s">
        <v>31</v>
      </c>
    </row>
    <row r="6" customFormat="false" ht="78" hidden="false" customHeight="true" outlineLevel="0" collapsed="false">
      <c r="A6" s="4" t="s">
        <v>32</v>
      </c>
      <c r="B6" s="5" t="s">
        <v>18</v>
      </c>
      <c r="C6" s="5" t="s">
        <v>33</v>
      </c>
      <c r="D6" s="5" t="s">
        <v>20</v>
      </c>
      <c r="E6" s="5" t="s">
        <v>34</v>
      </c>
      <c r="F6" s="5" t="s">
        <v>35</v>
      </c>
      <c r="G6" s="5" t="s">
        <v>36</v>
      </c>
      <c r="H6" s="5" t="s">
        <v>37</v>
      </c>
      <c r="I6" s="6" t="s">
        <v>25</v>
      </c>
      <c r="J6" s="5" t="s">
        <v>26</v>
      </c>
      <c r="K6" s="5" t="s">
        <v>27</v>
      </c>
      <c r="L6" s="5" t="s">
        <v>28</v>
      </c>
      <c r="M6" s="5" t="s">
        <v>38</v>
      </c>
      <c r="N6" s="5" t="s">
        <v>39</v>
      </c>
      <c r="O6" s="5" t="s">
        <v>40</v>
      </c>
    </row>
    <row r="7" customFormat="false" ht="78" hidden="false" customHeight="true" outlineLevel="0" collapsed="false">
      <c r="A7" s="4" t="s">
        <v>41</v>
      </c>
      <c r="B7" s="5" t="s">
        <v>18</v>
      </c>
      <c r="C7" s="5" t="s">
        <v>42</v>
      </c>
      <c r="D7" s="5" t="s">
        <v>20</v>
      </c>
      <c r="E7" s="5" t="s">
        <v>43</v>
      </c>
      <c r="F7" s="5" t="s">
        <v>44</v>
      </c>
      <c r="G7" s="5" t="s">
        <v>45</v>
      </c>
      <c r="H7" s="5" t="s">
        <v>37</v>
      </c>
      <c r="I7" s="6" t="s">
        <v>25</v>
      </c>
      <c r="J7" s="5" t="s">
        <v>26</v>
      </c>
      <c r="K7" s="5" t="s">
        <v>27</v>
      </c>
      <c r="L7" s="5" t="s">
        <v>28</v>
      </c>
      <c r="M7" s="5" t="s">
        <v>46</v>
      </c>
      <c r="N7" s="5" t="s">
        <v>47</v>
      </c>
      <c r="O7" s="5" t="s">
        <v>48</v>
      </c>
    </row>
    <row r="8" customFormat="false" ht="78" hidden="false" customHeight="true" outlineLevel="0" collapsed="false">
      <c r="A8" s="4" t="s">
        <v>49</v>
      </c>
      <c r="B8" s="5" t="s">
        <v>18</v>
      </c>
      <c r="C8" s="5" t="s">
        <v>50</v>
      </c>
      <c r="D8" s="5" t="s">
        <v>51</v>
      </c>
      <c r="E8" s="5" t="s">
        <v>52</v>
      </c>
      <c r="F8" s="5" t="s">
        <v>53</v>
      </c>
      <c r="G8" s="5" t="s">
        <v>54</v>
      </c>
      <c r="H8" s="5" t="s">
        <v>55</v>
      </c>
      <c r="I8" s="6" t="s">
        <v>25</v>
      </c>
      <c r="J8" s="5" t="s">
        <v>26</v>
      </c>
      <c r="K8" s="5" t="s">
        <v>27</v>
      </c>
      <c r="L8" s="5" t="s">
        <v>28</v>
      </c>
      <c r="M8" s="5" t="s">
        <v>56</v>
      </c>
      <c r="N8" s="5" t="s">
        <v>57</v>
      </c>
      <c r="O8" s="5" t="s">
        <v>58</v>
      </c>
    </row>
    <row r="9" customFormat="false" ht="78" hidden="false" customHeight="true" outlineLevel="0" collapsed="false">
      <c r="A9" s="4" t="s">
        <v>59</v>
      </c>
      <c r="B9" s="5" t="s">
        <v>18</v>
      </c>
      <c r="C9" s="5" t="s">
        <v>60</v>
      </c>
      <c r="D9" s="5" t="s">
        <v>51</v>
      </c>
      <c r="E9" s="5" t="s">
        <v>61</v>
      </c>
      <c r="F9" s="5" t="s">
        <v>62</v>
      </c>
      <c r="G9" s="5" t="s">
        <v>63</v>
      </c>
      <c r="H9" s="5" t="s">
        <v>55</v>
      </c>
      <c r="I9" s="6" t="s">
        <v>25</v>
      </c>
      <c r="J9" s="5" t="s">
        <v>26</v>
      </c>
      <c r="K9" s="5" t="s">
        <v>27</v>
      </c>
      <c r="L9" s="5" t="s">
        <v>28</v>
      </c>
      <c r="M9" s="5" t="s">
        <v>64</v>
      </c>
      <c r="N9" s="5" t="s">
        <v>65</v>
      </c>
      <c r="O9" s="5" t="s">
        <v>58</v>
      </c>
    </row>
    <row r="10" customFormat="false" ht="78" hidden="false" customHeight="true" outlineLevel="0" collapsed="false">
      <c r="A10" s="4" t="s">
        <v>66</v>
      </c>
      <c r="B10" s="5" t="s">
        <v>18</v>
      </c>
      <c r="C10" s="5" t="s">
        <v>67</v>
      </c>
      <c r="D10" s="5" t="s">
        <v>51</v>
      </c>
      <c r="E10" s="5" t="s">
        <v>68</v>
      </c>
      <c r="F10" s="5" t="s">
        <v>69</v>
      </c>
      <c r="G10" s="5" t="s">
        <v>70</v>
      </c>
      <c r="H10" s="5" t="s">
        <v>71</v>
      </c>
      <c r="I10" s="6" t="s">
        <v>25</v>
      </c>
      <c r="J10" s="5" t="s">
        <v>26</v>
      </c>
      <c r="K10" s="5" t="s">
        <v>27</v>
      </c>
      <c r="L10" s="5" t="s">
        <v>28</v>
      </c>
      <c r="M10" s="5" t="s">
        <v>72</v>
      </c>
      <c r="N10" s="5" t="s">
        <v>73</v>
      </c>
      <c r="O10" s="5" t="s">
        <v>74</v>
      </c>
    </row>
    <row r="11" customFormat="false" ht="78" hidden="false" customHeight="true" outlineLevel="0" collapsed="false">
      <c r="A11" s="4" t="s">
        <v>75</v>
      </c>
      <c r="B11" s="5" t="s">
        <v>76</v>
      </c>
      <c r="C11" s="5" t="s">
        <v>77</v>
      </c>
      <c r="D11" s="5" t="s">
        <v>20</v>
      </c>
      <c r="E11" s="5" t="s">
        <v>78</v>
      </c>
      <c r="F11" s="5" t="s">
        <v>79</v>
      </c>
      <c r="G11" s="5" t="s">
        <v>80</v>
      </c>
      <c r="H11" s="5" t="s">
        <v>81</v>
      </c>
      <c r="I11" s="6" t="s">
        <v>25</v>
      </c>
      <c r="J11" s="5" t="s">
        <v>26</v>
      </c>
      <c r="K11" s="5" t="s">
        <v>27</v>
      </c>
      <c r="L11" s="5" t="s">
        <v>28</v>
      </c>
      <c r="M11" s="5" t="s">
        <v>82</v>
      </c>
      <c r="N11" s="5" t="s">
        <v>83</v>
      </c>
      <c r="O11" s="5" t="s">
        <v>84</v>
      </c>
    </row>
    <row r="12" customFormat="false" ht="78" hidden="false" customHeight="true" outlineLevel="0" collapsed="false">
      <c r="A12" s="4" t="s">
        <v>85</v>
      </c>
      <c r="B12" s="5" t="s">
        <v>76</v>
      </c>
      <c r="C12" s="5" t="s">
        <v>86</v>
      </c>
      <c r="D12" s="5" t="s">
        <v>20</v>
      </c>
      <c r="E12" s="5" t="s">
        <v>87</v>
      </c>
      <c r="F12" s="5" t="s">
        <v>88</v>
      </c>
      <c r="G12" s="5" t="s">
        <v>89</v>
      </c>
      <c r="H12" s="5" t="s">
        <v>90</v>
      </c>
      <c r="I12" s="6" t="s">
        <v>25</v>
      </c>
      <c r="J12" s="5" t="s">
        <v>26</v>
      </c>
      <c r="K12" s="5" t="s">
        <v>27</v>
      </c>
      <c r="L12" s="5" t="s">
        <v>28</v>
      </c>
      <c r="M12" s="5" t="s">
        <v>91</v>
      </c>
      <c r="N12" s="5" t="s">
        <v>92</v>
      </c>
      <c r="O12" s="5" t="s">
        <v>93</v>
      </c>
    </row>
    <row r="13" customFormat="false" ht="78" hidden="false" customHeight="true" outlineLevel="0" collapsed="false">
      <c r="A13" s="4" t="s">
        <v>94</v>
      </c>
      <c r="B13" s="5" t="s">
        <v>95</v>
      </c>
      <c r="C13" s="5" t="s">
        <v>96</v>
      </c>
      <c r="D13" s="5" t="s">
        <v>97</v>
      </c>
      <c r="E13" s="5" t="s">
        <v>98</v>
      </c>
      <c r="F13" s="5" t="s">
        <v>99</v>
      </c>
      <c r="G13" s="5" t="s">
        <v>100</v>
      </c>
      <c r="H13" s="5" t="s">
        <v>101</v>
      </c>
      <c r="I13" s="6" t="s">
        <v>25</v>
      </c>
      <c r="J13" s="5" t="s">
        <v>26</v>
      </c>
      <c r="K13" s="5" t="s">
        <v>27</v>
      </c>
      <c r="L13" s="5" t="s">
        <v>28</v>
      </c>
      <c r="M13" s="5" t="s">
        <v>102</v>
      </c>
      <c r="N13" s="5" t="s">
        <v>103</v>
      </c>
      <c r="O13" s="5" t="s">
        <v>104</v>
      </c>
    </row>
    <row r="14" customFormat="false" ht="78" hidden="false" customHeight="true" outlineLevel="0" collapsed="false">
      <c r="A14" s="4" t="s">
        <v>105</v>
      </c>
      <c r="B14" s="5" t="s">
        <v>95</v>
      </c>
      <c r="C14" s="5" t="s">
        <v>106</v>
      </c>
      <c r="D14" s="5" t="s">
        <v>97</v>
      </c>
      <c r="E14" s="5" t="s">
        <v>107</v>
      </c>
      <c r="F14" s="5" t="s">
        <v>108</v>
      </c>
      <c r="G14" s="5" t="s">
        <v>109</v>
      </c>
      <c r="H14" s="5" t="s">
        <v>110</v>
      </c>
      <c r="I14" s="6" t="s">
        <v>25</v>
      </c>
      <c r="J14" s="5" t="s">
        <v>26</v>
      </c>
      <c r="K14" s="5" t="s">
        <v>27</v>
      </c>
      <c r="L14" s="5" t="s">
        <v>28</v>
      </c>
      <c r="M14" s="5" t="s">
        <v>111</v>
      </c>
      <c r="N14" s="5" t="s">
        <v>112</v>
      </c>
      <c r="O14" s="5" t="s">
        <v>113</v>
      </c>
    </row>
    <row r="15" customFormat="false" ht="78" hidden="false" customHeight="true" outlineLevel="0" collapsed="false">
      <c r="A15" s="4" t="s">
        <v>114</v>
      </c>
      <c r="B15" s="5" t="s">
        <v>18</v>
      </c>
      <c r="C15" s="5" t="s">
        <v>115</v>
      </c>
      <c r="D15" s="5" t="s">
        <v>51</v>
      </c>
      <c r="E15" s="5" t="s">
        <v>116</v>
      </c>
      <c r="F15" s="5" t="s">
        <v>22</v>
      </c>
      <c r="G15" s="5" t="s">
        <v>117</v>
      </c>
      <c r="H15" s="5" t="s">
        <v>118</v>
      </c>
      <c r="I15" s="6" t="s">
        <v>25</v>
      </c>
      <c r="J15" s="5" t="s">
        <v>26</v>
      </c>
      <c r="K15" s="5" t="s">
        <v>27</v>
      </c>
      <c r="L15" s="5" t="s">
        <v>28</v>
      </c>
      <c r="M15" s="5" t="s">
        <v>119</v>
      </c>
      <c r="N15" s="5" t="s">
        <v>120</v>
      </c>
      <c r="O15" s="5" t="s">
        <v>121</v>
      </c>
    </row>
    <row r="16" customFormat="false" ht="78" hidden="false" customHeight="true" outlineLevel="0" collapsed="false">
      <c r="A16" s="4" t="s">
        <v>122</v>
      </c>
      <c r="B16" s="5" t="s">
        <v>123</v>
      </c>
      <c r="C16" s="5" t="s">
        <v>124</v>
      </c>
      <c r="D16" s="5" t="s">
        <v>20</v>
      </c>
      <c r="E16" s="5" t="s">
        <v>125</v>
      </c>
      <c r="F16" s="5" t="s">
        <v>22</v>
      </c>
      <c r="G16" s="5" t="s">
        <v>126</v>
      </c>
      <c r="H16" s="5" t="s">
        <v>127</v>
      </c>
      <c r="I16" s="6" t="s">
        <v>25</v>
      </c>
      <c r="J16" s="5" t="s">
        <v>26</v>
      </c>
      <c r="K16" s="5" t="s">
        <v>27</v>
      </c>
      <c r="L16" s="5" t="s">
        <v>28</v>
      </c>
      <c r="M16" s="5" t="s">
        <v>128</v>
      </c>
      <c r="N16" s="5" t="s">
        <v>129</v>
      </c>
      <c r="O16" s="5" t="s">
        <v>130</v>
      </c>
    </row>
    <row r="17" customFormat="false" ht="78" hidden="false" customHeight="true" outlineLevel="0" collapsed="false">
      <c r="A17" s="4" t="s">
        <v>131</v>
      </c>
      <c r="B17" s="5" t="s">
        <v>18</v>
      </c>
      <c r="C17" s="5" t="s">
        <v>132</v>
      </c>
      <c r="D17" s="5" t="s">
        <v>97</v>
      </c>
      <c r="E17" s="5" t="s">
        <v>133</v>
      </c>
      <c r="F17" s="5" t="s">
        <v>22</v>
      </c>
      <c r="G17" s="5" t="s">
        <v>134</v>
      </c>
      <c r="H17" s="5" t="s">
        <v>135</v>
      </c>
      <c r="I17" s="6" t="s">
        <v>25</v>
      </c>
      <c r="J17" s="5" t="s">
        <v>26</v>
      </c>
      <c r="K17" s="5" t="s">
        <v>27</v>
      </c>
      <c r="L17" s="5" t="s">
        <v>28</v>
      </c>
      <c r="M17" s="5" t="s">
        <v>136</v>
      </c>
      <c r="N17" s="5" t="s">
        <v>137</v>
      </c>
      <c r="O17" s="5" t="s">
        <v>138</v>
      </c>
    </row>
    <row r="18" customFormat="false" ht="78" hidden="false" customHeight="true" outlineLevel="0" collapsed="false">
      <c r="A18" s="4" t="s">
        <v>139</v>
      </c>
      <c r="B18" s="5" t="s">
        <v>140</v>
      </c>
      <c r="C18" s="5" t="s">
        <v>141</v>
      </c>
      <c r="D18" s="5" t="s">
        <v>51</v>
      </c>
      <c r="E18" s="5" t="s">
        <v>142</v>
      </c>
      <c r="F18" s="5" t="s">
        <v>108</v>
      </c>
      <c r="G18" s="5" t="s">
        <v>143</v>
      </c>
      <c r="H18" s="5" t="s">
        <v>144</v>
      </c>
      <c r="I18" s="7" t="s">
        <v>145</v>
      </c>
      <c r="J18" s="5" t="s">
        <v>26</v>
      </c>
      <c r="K18" s="5" t="s">
        <v>27</v>
      </c>
      <c r="L18" s="5" t="s">
        <v>28</v>
      </c>
      <c r="M18" s="5" t="s">
        <v>146</v>
      </c>
      <c r="N18" s="5" t="s">
        <v>147</v>
      </c>
      <c r="O18" s="5" t="s">
        <v>148</v>
      </c>
    </row>
    <row r="19" customFormat="false" ht="78" hidden="false" customHeight="true" outlineLevel="0" collapsed="false">
      <c r="A19" s="4" t="s">
        <v>149</v>
      </c>
      <c r="B19" s="5" t="s">
        <v>150</v>
      </c>
      <c r="C19" s="5" t="s">
        <v>151</v>
      </c>
      <c r="D19" s="5" t="s">
        <v>51</v>
      </c>
      <c r="E19" s="5" t="s">
        <v>152</v>
      </c>
      <c r="F19" s="5" t="s">
        <v>22</v>
      </c>
      <c r="G19" s="5" t="s">
        <v>153</v>
      </c>
      <c r="H19" s="5" t="s">
        <v>154</v>
      </c>
      <c r="I19" s="8" t="s">
        <v>155</v>
      </c>
      <c r="J19" s="5" t="s">
        <v>26</v>
      </c>
      <c r="K19" s="5" t="s">
        <v>27</v>
      </c>
      <c r="L19" s="5" t="s">
        <v>28</v>
      </c>
      <c r="M19" s="5" t="s">
        <v>156</v>
      </c>
      <c r="N19" s="5" t="s">
        <v>157</v>
      </c>
      <c r="O19" s="5" t="s">
        <v>158</v>
      </c>
    </row>
    <row r="20" customFormat="false" ht="78" hidden="false" customHeight="true" outlineLevel="0" collapsed="false">
      <c r="A20" s="4" t="s">
        <v>159</v>
      </c>
      <c r="B20" s="5" t="s">
        <v>160</v>
      </c>
      <c r="C20" s="5" t="s">
        <v>161</v>
      </c>
      <c r="D20" s="5" t="s">
        <v>97</v>
      </c>
      <c r="E20" s="5" t="s">
        <v>162</v>
      </c>
      <c r="F20" s="5" t="s">
        <v>163</v>
      </c>
      <c r="G20" s="5" t="s">
        <v>164</v>
      </c>
      <c r="H20" s="5" t="s">
        <v>154</v>
      </c>
      <c r="I20" s="9" t="s">
        <v>165</v>
      </c>
      <c r="J20" s="5" t="s">
        <v>26</v>
      </c>
      <c r="K20" s="5" t="s">
        <v>27</v>
      </c>
      <c r="L20" s="5" t="s">
        <v>166</v>
      </c>
      <c r="M20" s="5" t="s">
        <v>167</v>
      </c>
      <c r="N20" s="5" t="s">
        <v>157</v>
      </c>
      <c r="O20" s="5" t="s">
        <v>168</v>
      </c>
    </row>
  </sheetData>
  <autoFilter ref="A4:O20"/>
  <mergeCells count="2">
    <mergeCell ref="A1:O1"/>
    <mergeCell ref="A2:O2"/>
  </mergeCells>
  <dataValidations count="1">
    <dataValidation allowBlank="false" errorStyle="stop" operator="between" showDropDown="false" showErrorMessage="false" showInputMessage="false" sqref="I5:I40" type="list">
      <formula1>"Pass,Fail,Blocked,Deferred"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55"/>
  </cols>
  <sheetData>
    <row r="1" customFormat="false" ht="19.7" hidden="false" customHeight="false" outlineLevel="0" collapsed="false">
      <c r="A1" s="1" t="s">
        <v>169</v>
      </c>
      <c r="B1" s="1"/>
      <c r="C1" s="1"/>
      <c r="D1" s="1"/>
    </row>
    <row r="2" customFormat="false" ht="15" hidden="false" customHeight="false" outlineLevel="0" collapsed="false">
      <c r="A2" s="2" t="s">
        <v>170</v>
      </c>
      <c r="B2" s="2"/>
      <c r="C2" s="2"/>
      <c r="D2" s="2"/>
    </row>
    <row r="4" customFormat="false" ht="15" hidden="false" customHeight="false" outlineLevel="0" collapsed="false">
      <c r="A4" s="3" t="s">
        <v>171</v>
      </c>
      <c r="B4" s="3" t="s">
        <v>172</v>
      </c>
      <c r="C4" s="3" t="s">
        <v>173</v>
      </c>
      <c r="D4" s="3" t="s">
        <v>174</v>
      </c>
    </row>
    <row r="5" customFormat="false" ht="15" hidden="false" customHeight="false" outlineLevel="0" collapsed="false">
      <c r="A5" s="5" t="s">
        <v>175</v>
      </c>
      <c r="B5" s="10" t="n">
        <f aca="false">COUNTA('Test Cases'!$I$5:$I$20)</f>
        <v>16</v>
      </c>
      <c r="C5" s="11"/>
      <c r="D5" s="5" t="s">
        <v>176</v>
      </c>
    </row>
    <row r="6" customFormat="false" ht="15" hidden="false" customHeight="false" outlineLevel="0" collapsed="false">
      <c r="A6" s="12" t="s">
        <v>177</v>
      </c>
      <c r="B6" s="13" t="n">
        <f aca="false">COUNTIF('Test Cases'!$I$5:$I$20,"Pass")</f>
        <v>13</v>
      </c>
      <c r="C6" s="14" t="n">
        <f aca="false">B6/$B$5</f>
        <v>0.8125</v>
      </c>
      <c r="D6" s="12" t="s">
        <v>178</v>
      </c>
    </row>
    <row r="7" customFormat="false" ht="15" hidden="false" customHeight="false" outlineLevel="0" collapsed="false">
      <c r="A7" s="15" t="s">
        <v>179</v>
      </c>
      <c r="B7" s="16" t="n">
        <f aca="false">COUNTIF('Test Cases'!$I$5:$I$20,"Fail")</f>
        <v>1</v>
      </c>
      <c r="C7" s="17" t="n">
        <f aca="false">B7/$B$5</f>
        <v>0.0625</v>
      </c>
      <c r="D7" s="15" t="s">
        <v>180</v>
      </c>
    </row>
    <row r="8" customFormat="false" ht="15" hidden="false" customHeight="false" outlineLevel="0" collapsed="false">
      <c r="A8" s="18" t="s">
        <v>155</v>
      </c>
      <c r="B8" s="19" t="n">
        <f aca="false">COUNTIF('Test Cases'!$I$5:$I$20,"Blocked")</f>
        <v>1</v>
      </c>
      <c r="C8" s="20" t="n">
        <f aca="false">B8/$B$5</f>
        <v>0.0625</v>
      </c>
      <c r="D8" s="18" t="s">
        <v>181</v>
      </c>
    </row>
    <row r="9" customFormat="false" ht="15" hidden="false" customHeight="false" outlineLevel="0" collapsed="false">
      <c r="A9" s="21" t="s">
        <v>165</v>
      </c>
      <c r="B9" s="22" t="n">
        <f aca="false">COUNTIF('Test Cases'!$I$5:$I$20,"Deferred")</f>
        <v>1</v>
      </c>
      <c r="C9" s="23" t="n">
        <f aca="false">B9/$B$5</f>
        <v>0.0625</v>
      </c>
      <c r="D9" s="21" t="s">
        <v>182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2026-08-03T06:37:45Z</dcterms:created>
  <dc:creator>openpyxl</dc:creator>
  <dc:description/>
  <dc:language>en-US</dc:language>
  <cp:lastModifiedBy/>
  <dcterms:modified xsi:type="dcterms:W3CDTF">2026-08-03T06:37:45Z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