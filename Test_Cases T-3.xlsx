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Sheet" sheetId="1" state="visible" r:id="rId3"/>
    <sheet name="Requirement Baseline" sheetId="2" state="visible" r:id="rId4"/>
    <sheet name="Review Test Cases" sheetId="3" state="visible" r:id="rId5"/>
    <sheet name="RT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<sst xmlns="http://schemas.openxmlformats.org/spreadsheetml/2006/main" count="611" uniqueCount="354">
  <si>
    <t xml:space="preserve">Practical 3 — Requirement Review &amp; Inspection</t>
  </si>
  <si>
    <t xml:space="preserve">Review Test Case Register</t>
  </si>
  <si>
    <t xml:space="preserve">Application Under Review</t>
  </si>
  <si>
    <t xml:space="preserve">Practice Test Automation — Test Login Page</t>
  </si>
  <si>
    <t xml:space="preserve">Application URL</t>
  </si>
  <si>
    <t xml:space="preserve">https://practicetestautomation.com/practice-test-login/</t>
  </si>
  <si>
    <t xml:space="preserve">Module Name</t>
  </si>
  <si>
    <t xml:space="preserve">Login Module</t>
  </si>
  <si>
    <t xml:space="preserve">Review Scope</t>
  </si>
  <si>
    <t xml:space="preserve">Requirement Review, Requirement Inspection, Requirement Validation, Requirement Traceability, Coverage Verification, Missing/Ambiguous Requirement Identification, Acceptance Criteria Definition</t>
  </si>
  <si>
    <t xml:space="preserve">Baseline Specification Reviewed</t>
  </si>
  <si>
    <t xml:space="preserve">Login page requirement description published at the URL above (functional description, credential rule, and the three worked test cases shown on the page)</t>
  </si>
  <si>
    <t xml:space="preserve">SDLC / Review Model</t>
  </si>
  <si>
    <t xml:space="preserve">Agile Model — Static Testing phase (pre-execution review &amp; inspection)</t>
  </si>
  <si>
    <t xml:space="preserve">Review Type(s) Performed</t>
  </si>
  <si>
    <t xml:space="preserve">Informal Requirement Review, Formal Inspection (IEEE 1028-style checklist), Peer Review, Requirement Validation, Traceability Audit</t>
  </si>
  <si>
    <t xml:space="preserve">Prepared By</t>
  </si>
  <si>
    <t xml:space="preserve">QA Reviewer</t>
  </si>
  <si>
    <t xml:space="preserve">Review Date</t>
  </si>
  <si>
    <t xml:space="preserve">02-Aug-2026 to 03-Aug-2026</t>
  </si>
  <si>
    <t xml:space="preserve">Document Version</t>
  </si>
  <si>
    <t xml:space="preserve">1.0</t>
  </si>
  <si>
    <t xml:space="preserve">Total Review Test Cases</t>
  </si>
  <si>
    <t xml:space="preserve">Sheet Index</t>
  </si>
  <si>
    <t xml:space="preserve">1. Cover Sheet — document control and scope</t>
  </si>
  <si>
    <t xml:space="preserve">2. Requirement Baseline — requirement items extracted from the source page, incl. gap items</t>
  </si>
  <si>
    <t xml:space="preserve">3. Review Test Cases — 30 review/inspection/validation/traceability/coverage test cases</t>
  </si>
  <si>
    <t xml:space="preserve">4. Requirement Traceability Matrix (RTM) — requirement-to-test-case coverage</t>
  </si>
  <si>
    <t xml:space="preserve">Requirement Baseline — Login Module (with identified gaps and ambiguities)</t>
  </si>
  <si>
    <t xml:space="preserve">Req ID</t>
  </si>
  <si>
    <t xml:space="preserve">Category</t>
  </si>
  <si>
    <t xml:space="preserve">Requirement / Item Statement</t>
  </si>
  <si>
    <t xml:space="preserve">Source Reference</t>
  </si>
  <si>
    <t xml:space="preserve">Reviewed Status</t>
  </si>
  <si>
    <t xml:space="preserve">REQ_LOGIN_01</t>
  </si>
  <si>
    <t xml:space="preserve">Functional</t>
  </si>
  <si>
    <t xml:space="preserve">The Login page shall present three input controls: a Username field, a Password field, and a Submit button.</t>
  </si>
  <si>
    <t xml:space="preserve">Page body — form controls</t>
  </si>
  <si>
    <t xml:space="preserve">Reviewed</t>
  </si>
  <si>
    <t xml:space="preserve">REQ_LOGIN_02</t>
  </si>
  <si>
    <t xml:space="preserve">The system shall authenticate the user only when Username = 'student' AND Password = 'Password123'.</t>
  </si>
  <si>
    <t xml:space="preserve">Page body — 'Use next credentials to execute Login'</t>
  </si>
  <si>
    <t xml:space="preserve">REQ_LOGIN_03</t>
  </si>
  <si>
    <t xml:space="preserve">On successful authentication, the system shall redirect the user to a URL that contains 'practicetestautomation.com/logged-in-successfully/'.</t>
  </si>
  <si>
    <t xml:space="preserve">Test case 1, step 5</t>
  </si>
  <si>
    <t xml:space="preserve">REQ_LOGIN_04</t>
  </si>
  <si>
    <t xml:space="preserve">The post-login page shall display a confirmation message containing either 'Congratulations' or 'successfully logged in'.</t>
  </si>
  <si>
    <t xml:space="preserve">Test case 1, step 6</t>
  </si>
  <si>
    <t xml:space="preserve">REQ_LOGIN_05</t>
  </si>
  <si>
    <t xml:space="preserve">The post-login page shall display a 'Log out' button.</t>
  </si>
  <si>
    <t xml:space="preserve">Test case 1, step 7</t>
  </si>
  <si>
    <t xml:space="preserve">REQ_LOGIN_06</t>
  </si>
  <si>
    <t xml:space="preserve">If the Username entered does not equal 'student', the system shall display the error message 'Your username is invalid!' and remain on the Login page.</t>
  </si>
  <si>
    <t xml:space="preserve">Test case 2, steps 5-6</t>
  </si>
  <si>
    <t xml:space="preserve">REQ_LOGIN_07</t>
  </si>
  <si>
    <t xml:space="preserve">If the Username is valid but the Password entered does not equal 'Password123', the system shall display the error message 'Your password is invalid!' and remain on the Login page.</t>
  </si>
  <si>
    <t xml:space="preserve">Test case 3, steps 5-6</t>
  </si>
  <si>
    <t xml:space="preserve">REQ_LOGIN_08</t>
  </si>
  <si>
    <t xml:space="preserve">Error messages shall be rendered on the same Login page without a page redirect.</t>
  </si>
  <si>
    <t xml:space="preserve">Inferred from Test case 2 &amp; 3 (no URL-change step listed)</t>
  </si>
  <si>
    <t xml:space="preserve">GAP_01</t>
  </si>
  <si>
    <t xml:space="preserve">Missing Requirement</t>
  </si>
  <si>
    <t xml:space="preserve">No requirement defines system behaviour when BOTH Username and Password are invalid simultaneously (which single error message, if any, takes precedence).</t>
  </si>
  <si>
    <t xml:space="preserve">Absent from source page</t>
  </si>
  <si>
    <t xml:space="preserve">Flagged in Inspection</t>
  </si>
  <si>
    <t xml:space="preserve">GAP_02</t>
  </si>
  <si>
    <t xml:space="preserve">No requirement defines behaviour when Submit is pressed with one or both fields left empty (client-side validation vs. server-side error vs. one of the two existing messages).</t>
  </si>
  <si>
    <t xml:space="preserve">GAP_03</t>
  </si>
  <si>
    <t xml:space="preserve">No requirement states whether Username/Password comparison is case-sensitive.</t>
  </si>
  <si>
    <t xml:space="preserve">GAP_04</t>
  </si>
  <si>
    <t xml:space="preserve">No requirement describes the Log out action's effect on session/URL state beyond the button being present.</t>
  </si>
  <si>
    <t xml:space="preserve">GAP_05</t>
  </si>
  <si>
    <t xml:space="preserve">Missing Requirement (Non-functional)</t>
  </si>
  <si>
    <t xml:space="preserve">No requirement defines account lockout, throttling, or CAPTCHA behaviour after repeated failed login attempts.</t>
  </si>
  <si>
    <t xml:space="preserve">GAP_06</t>
  </si>
  <si>
    <t xml:space="preserve">No requirement defines supported browsers, devices, or responsive-layout behaviour for the Login page.</t>
  </si>
  <si>
    <t xml:space="preserve">GAP_07</t>
  </si>
  <si>
    <t xml:space="preserve">No explicit requirement states that the Password field must mask entered characters.</t>
  </si>
  <si>
    <t xml:space="preserve">Absent from source page — implied by convention only</t>
  </si>
  <si>
    <t xml:space="preserve">GAP_08</t>
  </si>
  <si>
    <t xml:space="preserve">No requirement defines expected response time, availability, or transport security (HTTPS) for the Login page.</t>
  </si>
  <si>
    <t xml:space="preserve">AMB_01</t>
  </si>
  <si>
    <t xml:space="preserve">Ambiguous Requirement</t>
  </si>
  <si>
    <t xml:space="preserve">REQ_LOGIN_04 phrases the success message as an OR condition ('Congratulations' OR 'successfully logged in') without stating whether both must appear together, either is independently sufficient, or the wording is version-dependent.</t>
  </si>
  <si>
    <t xml:space="preserve">AMB_02</t>
  </si>
  <si>
    <t xml:space="preserve">REQ_LOGIN_02 does not state whether the credential 'student / Password123' is a hard-coded front-end check or a backend authentication call, which is material to designing negative/security test cases (e.g., SQL injection, brute force).</t>
  </si>
  <si>
    <t xml:space="preserve">Page body — credential statement</t>
  </si>
  <si>
    <t xml:space="preserve">Review Test Cases — Requirement Review, Inspection, Validation, Traceability &amp; Coverage</t>
  </si>
  <si>
    <t xml:space="preserve">RTC ID</t>
  </si>
  <si>
    <t xml:space="preserve">Review Type</t>
  </si>
  <si>
    <t xml:space="preserve">Req/Item ID</t>
  </si>
  <si>
    <t xml:space="preserve">Requirement / Item Under Review</t>
  </si>
  <si>
    <t xml:space="preserve">Review Objective</t>
  </si>
  <si>
    <t xml:space="preserve">Review Technique</t>
  </si>
  <si>
    <t xml:space="preserve">Acceptance Criteria (Expected Outcome)</t>
  </si>
  <si>
    <t xml:space="preserve">Actual Finding</t>
  </si>
  <si>
    <t xml:space="preserve">Status</t>
  </si>
  <si>
    <t xml:space="preserve">Severity</t>
  </si>
  <si>
    <t xml:space="preserve">Defect Ref</t>
  </si>
  <si>
    <t xml:space="preserve">Remarks / Recommendation</t>
  </si>
  <si>
    <t xml:space="preserve">RTC_001</t>
  </si>
  <si>
    <t xml:space="preserve">Requirement Review</t>
  </si>
  <si>
    <t xml:space="preserve">Login page shall present Username, Password and Submit controls</t>
  </si>
  <si>
    <t xml:space="preserve">Confirm the requirement is clear, complete and unambiguous as written</t>
  </si>
  <si>
    <t xml:space="preserve">Manual walkthrough against IEEE 830 clarity checklist</t>
  </si>
  <si>
    <t xml:space="preserve">Requirement names exactly three controls with no undefined terms</t>
  </si>
  <si>
    <t xml:space="preserve">Requirement text is unambiguous; all three controls independently verifiable on the live page</t>
  </si>
  <si>
    <t xml:space="preserve">Pass</t>
  </si>
  <si>
    <t xml:space="preserve">-</t>
  </si>
  <si>
    <t xml:space="preserve">No action required</t>
  </si>
  <si>
    <t xml:space="preserve">RTC_002</t>
  </si>
  <si>
    <t xml:space="preserve">System shall authenticate only for Username='student' AND Password='Password123'</t>
  </si>
  <si>
    <t xml:space="preserve">Confirm the credential rule is stated in verifiable, testable terms</t>
  </si>
  <si>
    <t xml:space="preserve">Manual walkthrough — testability check</t>
  </si>
  <si>
    <t xml:space="preserve">Exact literal values given; AND condition explicit; no placeholder wording</t>
  </si>
  <si>
    <t xml:space="preserve">Requirement is fully testable as written; values match live page text exactly</t>
  </si>
  <si>
    <t xml:space="preserve">RTC_003</t>
  </si>
  <si>
    <t xml:space="preserve">Successful login shall redirect to URL containing '/logged-in-successfully/'</t>
  </si>
  <si>
    <t xml:space="preserve">Confirm the success condition is a measurable, automatable check</t>
  </si>
  <si>
    <t xml:space="preserve">Manual walkthrough — measurability check</t>
  </si>
  <si>
    <t xml:space="preserve">URL substring is exact and case-consistent; no dependency on full absolute URL</t>
  </si>
  <si>
    <t xml:space="preserve">Requirement is measurable; substring check is automation-ready</t>
  </si>
  <si>
    <t xml:space="preserve">RTC_004</t>
  </si>
  <si>
    <t xml:space="preserve">Post-login page shall show 'Congratulations' or 'successfully logged in'</t>
  </si>
  <si>
    <t xml:space="preserve">Confirm the success message requirement is unambiguous</t>
  </si>
  <si>
    <t xml:space="preserve">Manual walkthrough — clarity check</t>
  </si>
  <si>
    <t xml:space="preserve">A single, precisely worded expected string, OR an explicit rule for evaluating either variant</t>
  </si>
  <si>
    <t xml:space="preserve">Requirement uses an OR condition without governing rule — clarity issue raised as AMB_01</t>
  </si>
  <si>
    <t xml:space="preserve">Fail</t>
  </si>
  <si>
    <t xml:space="preserve">Medium</t>
  </si>
  <si>
    <t xml:space="preserve">DEF-INSP-01</t>
  </si>
  <si>
    <t xml:space="preserve">Reword to single canonical string or define OR-evaluation rule</t>
  </si>
  <si>
    <t xml:space="preserve">RTC_005</t>
  </si>
  <si>
    <t xml:space="preserve">Post-login page shall display a 'Log out' button</t>
  </si>
  <si>
    <t xml:space="preserve">Confirm control name, visibility condition and location are stated</t>
  </si>
  <si>
    <t xml:space="preserve">Manual walkthrough — completeness check</t>
  </si>
  <si>
    <t xml:space="preserve">Button label, and the page/state on which it must appear, are both specified</t>
  </si>
  <si>
    <t xml:space="preserve">Label and page context specified; requirement is complete</t>
  </si>
  <si>
    <t xml:space="preserve">RTC_006</t>
  </si>
  <si>
    <t xml:space="preserve">Invalid Username shall trigger 'Your username is invalid!'</t>
  </si>
  <si>
    <t xml:space="preserve">Confirm error text, trigger condition and page-state are all specified</t>
  </si>
  <si>
    <t xml:space="preserve">Exact error string, trigger condition (Username mismatch) and resulting page state defined</t>
  </si>
  <si>
    <t xml:space="preserve">All three elements present and consistent with live page behaviour</t>
  </si>
  <si>
    <t xml:space="preserve">RTC_007</t>
  </si>
  <si>
    <t xml:space="preserve">Invalid Password (valid Username) shall trigger 'Your password is invalid!'</t>
  </si>
  <si>
    <t xml:space="preserve">Exact error string, trigger condition (Password mismatch) and resulting page state defined</t>
  </si>
  <si>
    <t xml:space="preserve">RTC_008</t>
  </si>
  <si>
    <t xml:space="preserve">Error messages rendered on same page, no redirect</t>
  </si>
  <si>
    <t xml:space="preserve">Confirm this behaviour is explicitly, not just inferentially, stated</t>
  </si>
  <si>
    <t xml:space="preserve">Requirement text should explicitly state 'no navigation/redirect occurs'</t>
  </si>
  <si>
    <t xml:space="preserve">Behaviour is only inferable from the absence of a URL-check step in worked examples — not an explicit statement</t>
  </si>
  <si>
    <t xml:space="preserve">Low</t>
  </si>
  <si>
    <t xml:space="preserve">DEF-INSP-02</t>
  </si>
  <si>
    <t xml:space="preserve">Add an explicit statement that error responses are same-page</t>
  </si>
  <si>
    <t xml:space="preserve">RTC_009</t>
  </si>
  <si>
    <t xml:space="preserve">Requirement Inspection</t>
  </si>
  <si>
    <t xml:space="preserve">REQ_LOGIN_01-08</t>
  </si>
  <si>
    <t xml:space="preserve">Full requirement set — Correctness attribute</t>
  </si>
  <si>
    <t xml:space="preserve">Formal inspection: verify every requirement correctly reflects observed system behaviour</t>
  </si>
  <si>
    <t xml:space="preserve">Formal Inspection — checklist item: Correctness</t>
  </si>
  <si>
    <t xml:space="preserve">Zero mismatches between requirement statement and actual page behaviour</t>
  </si>
  <si>
    <t xml:space="preserve">0 correctness defects found across REQ_LOGIN_01-08</t>
  </si>
  <si>
    <t xml:space="preserve">RTC_010</t>
  </si>
  <si>
    <t xml:space="preserve">Full requirement set — Unambiguous attribute</t>
  </si>
  <si>
    <t xml:space="preserve">Formal inspection: verify each requirement has exactly one interpretation</t>
  </si>
  <si>
    <t xml:space="preserve">Formal Inspection — checklist item: Unambiguous</t>
  </si>
  <si>
    <t xml:space="preserve">Zero requirements with more than one plausible interpretation</t>
  </si>
  <si>
    <t xml:space="preserve">1 ambiguity defect found (REQ_LOGIN_04, logged as AMB_01)</t>
  </si>
  <si>
    <t xml:space="preserve">See AMB_01 — reword success-message requirement</t>
  </si>
  <si>
    <t xml:space="preserve">RTC_011</t>
  </si>
  <si>
    <t xml:space="preserve">Full requirement set — Completeness attribute</t>
  </si>
  <si>
    <t xml:space="preserve">Formal inspection: verify no requirement omits a necessary condition or outcome</t>
  </si>
  <si>
    <t xml:space="preserve">Formal Inspection — checklist item: Completeness</t>
  </si>
  <si>
    <t xml:space="preserve">Zero requirements missing trigger condition, expected outcome, or resulting page state</t>
  </si>
  <si>
    <t xml:space="preserve">1 completeness defect found (REQ_LOGIN_08 relies on inference, logged as DEF-INSP-02)</t>
  </si>
  <si>
    <t xml:space="preserve">Add explicit same-page statement to REQ_LOGIN_08</t>
  </si>
  <si>
    <t xml:space="preserve">RTC_012</t>
  </si>
  <si>
    <t xml:space="preserve">Full requirement set — Consistency attribute</t>
  </si>
  <si>
    <t xml:space="preserve">Formal inspection: verify no requirement contradicts another</t>
  </si>
  <si>
    <t xml:space="preserve">Formal Inspection — checklist item: Consistency</t>
  </si>
  <si>
    <t xml:space="preserve">Zero contradictions between REQ_LOGIN_01-08</t>
  </si>
  <si>
    <t xml:space="preserve">0 consistency defects found</t>
  </si>
  <si>
    <t xml:space="preserve">RTC_013</t>
  </si>
  <si>
    <t xml:space="preserve">Full requirement set — Verifiability attribute</t>
  </si>
  <si>
    <t xml:space="preserve">Formal inspection: verify each requirement can be objectively tested pass/fail</t>
  </si>
  <si>
    <t xml:space="preserve">Formal Inspection — checklist item: Verifiability</t>
  </si>
  <si>
    <t xml:space="preserve">Every requirement maps to at least one objectively verifiable check</t>
  </si>
  <si>
    <t xml:space="preserve">All 8 baseline requirements are objectively verifiable; 0 defects</t>
  </si>
  <si>
    <t xml:space="preserve">RTC_014</t>
  </si>
  <si>
    <t xml:space="preserve">Full requirement set — Necessity / Non-redundancy attribute</t>
  </si>
  <si>
    <t xml:space="preserve">Formal inspection: verify no requirement is redundant or gold-plated</t>
  </si>
  <si>
    <t xml:space="preserve">Formal Inspection — checklist item: Necessity</t>
  </si>
  <si>
    <t xml:space="preserve">Zero redundant requirements</t>
  </si>
  <si>
    <t xml:space="preserve">0 redundancy defects found</t>
  </si>
  <si>
    <t xml:space="preserve">RTC_015</t>
  </si>
  <si>
    <t xml:space="preserve">Requirement Validation</t>
  </si>
  <si>
    <t xml:space="preserve">Validate stated credential rule against live application</t>
  </si>
  <si>
    <t xml:space="preserve">Confirm 'student / Password123' is the only accepted combination on the live page</t>
  </si>
  <si>
    <t xml:space="preserve">Validation — direct execution against https://practicetestautomation.com/practice-test-login/</t>
  </si>
  <si>
    <t xml:space="preserve">Valid credentials succeed; any other combination is rejected</t>
  </si>
  <si>
    <t xml:space="preserve">Confirmed on live page — matches requirement exactly</t>
  </si>
  <si>
    <t xml:space="preserve">RTC_016</t>
  </si>
  <si>
    <t xml:space="preserve">Validate redirect URL requirement against live application</t>
  </si>
  <si>
    <t xml:space="preserve">Confirm the post-login URL literally contains '/logged-in-successfully/'</t>
  </si>
  <si>
    <t xml:space="preserve">Validation — direct execution against live page</t>
  </si>
  <si>
    <t xml:space="preserve">New page URL contains the specified substring</t>
  </si>
  <si>
    <t xml:space="preserve">Confirmed — matches requirement exactly</t>
  </si>
  <si>
    <t xml:space="preserve">RTC_017</t>
  </si>
  <si>
    <t xml:space="preserve">Validate invalid-username error text against live application</t>
  </si>
  <si>
    <t xml:space="preserve">Confirm displayed text matches 'Your username is invalid!' verbatim</t>
  </si>
  <si>
    <t xml:space="preserve">Displayed error string matches requirement text verbatim, no case/punctuation drift</t>
  </si>
  <si>
    <t xml:space="preserve">RTC_018</t>
  </si>
  <si>
    <t xml:space="preserve">Validate invalid-password error text against live application</t>
  </si>
  <si>
    <t xml:space="preserve">Confirm displayed text matches 'Your password is invalid!' verbatim</t>
  </si>
  <si>
    <t xml:space="preserve">RTC_019</t>
  </si>
  <si>
    <t xml:space="preserve">Validate success-message requirement wording against live application</t>
  </si>
  <si>
    <t xml:space="preserve">Confirm which of the two OR'd strings the live page actually renders</t>
  </si>
  <si>
    <t xml:space="preserve">Live page text should resolve the OR ambiguity from AMB_01</t>
  </si>
  <si>
    <t xml:space="preserve">Live page displays 'Congratulations student. You successfully logged in!' — a superset of both OR'd phrases; requirement wording should be updated to the exact live string</t>
  </si>
  <si>
    <t xml:space="preserve">DEF-INSP-03</t>
  </si>
  <si>
    <t xml:space="preserve">Update REQ_LOGIN_04 to the exact rendered string</t>
  </si>
  <si>
    <t xml:space="preserve">RTC_020</t>
  </si>
  <si>
    <t xml:space="preserve">Traceability Check</t>
  </si>
  <si>
    <t xml:space="preserve">REQ_LOGIN_01, REQ_LOGIN_02, REQ_LOGIN_03, REQ_LOGIN_04, REQ_LOGIN_05</t>
  </si>
  <si>
    <t xml:space="preserve">Trace positive-path requirements to executable test case(s)</t>
  </si>
  <si>
    <t xml:space="preserve">Confirm a forward and backward trace exists between requirement and test case</t>
  </si>
  <si>
    <t xml:space="preserve">Traceability audit — RTM cross-reference</t>
  </si>
  <si>
    <t xml:space="preserve">Each requirement maps to &gt;=1 test case; each mapped test case traces back to &gt;=1 requirement</t>
  </si>
  <si>
    <t xml:space="preserve">All five requirements trace to TC_LOGIN_01 (Positive LogIn test); no orphan link</t>
  </si>
  <si>
    <t xml:space="preserve">RTC_021</t>
  </si>
  <si>
    <t xml:space="preserve">Trace invalid-username requirement to executable test case(s)</t>
  </si>
  <si>
    <t xml:space="preserve">Confirm forward/backward trace exists</t>
  </si>
  <si>
    <t xml:space="preserve">Requirement maps to &gt;=1 test case</t>
  </si>
  <si>
    <t xml:space="preserve">Traces to TC_LOGIN_02 (Negative username test); no orphan link</t>
  </si>
  <si>
    <t xml:space="preserve">RTC_022</t>
  </si>
  <si>
    <t xml:space="preserve">Trace invalid-password requirement to executable test case(s)</t>
  </si>
  <si>
    <t xml:space="preserve">Traces to TC_LOGIN_03 (Negative password test); no orphan link</t>
  </si>
  <si>
    <t xml:space="preserve">RTC_023</t>
  </si>
  <si>
    <t xml:space="preserve">Trace same-page error-display requirement to executable test case(s)</t>
  </si>
  <si>
    <t xml:space="preserve">Confirm the inferred behaviour is exercised by an existing test case</t>
  </si>
  <si>
    <t xml:space="preserve">Requirement maps to &gt;=1 test case that explicitly asserts no navigation occurs</t>
  </si>
  <si>
    <t xml:space="preserve">No existing test case explicitly asserts URL is unchanged after an error — partial trace only</t>
  </si>
  <si>
    <t xml:space="preserve">DEF-INSP-04</t>
  </si>
  <si>
    <t xml:space="preserve">Add an explicit URL-unchanged assertion to TC_LOGIN_02/03</t>
  </si>
  <si>
    <t xml:space="preserve">RTC_024</t>
  </si>
  <si>
    <t xml:space="preserve">Coverage Verification</t>
  </si>
  <si>
    <t xml:space="preserve">Verify every baseline requirement has test coverage</t>
  </si>
  <si>
    <t xml:space="preserve">Confirm no baseline requirement is left without a mapped test case (orphan requirement)</t>
  </si>
  <si>
    <t xml:space="preserve">Coverage audit — RTM gap scan</t>
  </si>
  <si>
    <t xml:space="preserve">0 requirements without at least one mapped test case</t>
  </si>
  <si>
    <t xml:space="preserve">7 of 8 requirements fully covered; REQ_LOGIN_08 only partially covered (see RTC_023)</t>
  </si>
  <si>
    <t xml:space="preserve">Extend TC_LOGIN_02/03 per RTC_023 recommendation</t>
  </si>
  <si>
    <t xml:space="preserve">RTC_025</t>
  </si>
  <si>
    <t xml:space="preserve">TC_LOGIN_01, TC_LOGIN_02, TC_LOGIN_03</t>
  </si>
  <si>
    <t xml:space="preserve">Verify every existing test case maps back to a requirement</t>
  </si>
  <si>
    <t xml:space="preserve">Confirm no test case is orphaned (tests behaviour with no source requirement)</t>
  </si>
  <si>
    <t xml:space="preserve">Coverage audit — reverse RTM scan</t>
  </si>
  <si>
    <t xml:space="preserve">0 test cases without a traced source requirement</t>
  </si>
  <si>
    <t xml:space="preserve">All 3 existing functional test cases trace to at least one baseline requirement</t>
  </si>
  <si>
    <t xml:space="preserve">RTC_026</t>
  </si>
  <si>
    <t xml:space="preserve">GAP_01 - GAP_08</t>
  </si>
  <si>
    <t xml:space="preserve">Verify test coverage exists for identified gap items</t>
  </si>
  <si>
    <t xml:space="preserve">Confirm whether any gap item is already (accidentally) covered by an existing test case</t>
  </si>
  <si>
    <t xml:space="preserve">Coverage audit — gap-to-test cross-scan</t>
  </si>
  <si>
    <t xml:space="preserve">Explicit identification of which gaps have 0% coverage</t>
  </si>
  <si>
    <t xml:space="preserve">0 of 8 gap items have any existing test coverage — all require new requirements before test design</t>
  </si>
  <si>
    <t xml:space="preserve">DEF-INSP-05</t>
  </si>
  <si>
    <t xml:space="preserve">Raise formal requirement change requests for GAP_01-GAP_08</t>
  </si>
  <si>
    <t xml:space="preserve">RTC_027</t>
  </si>
  <si>
    <t xml:space="preserve">Missing Requirement ID</t>
  </si>
  <si>
    <t xml:space="preserve">GAP_01, GAP_02</t>
  </si>
  <si>
    <t xml:space="preserve">Identify missing requirement: combined-invalid-field and empty-field behaviour</t>
  </si>
  <si>
    <t xml:space="preserve">Confirm whether simultaneous/empty-field scenarios are addressed anywhere in the spec</t>
  </si>
  <si>
    <t xml:space="preserve">Gap analysis — boundary/negative scenario scan</t>
  </si>
  <si>
    <t xml:space="preserve">Either the spec addresses these scenarios, or the gap is formally logged for stakeholder input</t>
  </si>
  <si>
    <t xml:space="preserve">Neither scenario is addressed in the source spec; both logged as GAP_01 and GAP_02</t>
  </si>
  <si>
    <t xml:space="preserve">DEF-INSP-06</t>
  </si>
  <si>
    <t xml:space="preserve">Request clarification from product owner before automating negatives</t>
  </si>
  <si>
    <t xml:space="preserve">RTC_028</t>
  </si>
  <si>
    <t xml:space="preserve">GAP_05, GAP_08</t>
  </si>
  <si>
    <t xml:space="preserve">Identify missing non-functional requirements: rate limiting and response time</t>
  </si>
  <si>
    <t xml:space="preserve">Confirm whether any non-functional requirement governs brute-force protection or performance</t>
  </si>
  <si>
    <t xml:space="preserve">Gap analysis — non-functional requirement scan</t>
  </si>
  <si>
    <t xml:space="preserve">Either the spec defines NFRs, or the absence is formally logged</t>
  </si>
  <si>
    <t xml:space="preserve">No NFRs present in the source spec for this page; both logged as GAP_05 and GAP_08</t>
  </si>
  <si>
    <t xml:space="preserve">DEF-INSP-07</t>
  </si>
  <si>
    <t xml:space="preserve">Escalate to security/performance stakeholders for this page</t>
  </si>
  <si>
    <t xml:space="preserve">RTC_029</t>
  </si>
  <si>
    <t xml:space="preserve">Ambiguity Review</t>
  </si>
  <si>
    <t xml:space="preserve">Review OR-worded success message requirement for ambiguity</t>
  </si>
  <si>
    <t xml:space="preserve">Determine correct interpretation and recommended rewording</t>
  </si>
  <si>
    <t xml:space="preserve">Ambiguity review — live-page cross-check</t>
  </si>
  <si>
    <t xml:space="preserve">A single, unambiguous acceptance string derived from live behaviour</t>
  </si>
  <si>
    <t xml:space="preserve">Live text is 'Congratulations student. You successfully logged in!'; requirement should be updated to this exact string rather than an OR of two fragments</t>
  </si>
  <si>
    <t xml:space="preserve">Update REQ_LOGIN_04 wording (duplicate of RTC_019 finding)</t>
  </si>
  <si>
    <t xml:space="preserve">RTC_030</t>
  </si>
  <si>
    <t xml:space="preserve">Review credential-check architecture ambiguity</t>
  </si>
  <si>
    <t xml:space="preserve">Determine whether client-side or server-side validation assumption affects test design</t>
  </si>
  <si>
    <t xml:space="preserve">Ambiguity review — architectural impact assessment</t>
  </si>
  <si>
    <t xml:space="preserve">Explicit statement of validation layer, or explicit acknowledgement that it is out of scope for black-box testing</t>
  </si>
  <si>
    <t xml:space="preserve">Spec is silent; black-box testing proceeds unaffected, but security/negative test design (e.g. injection attempts) cannot be scoped without this clarification</t>
  </si>
  <si>
    <t xml:space="preserve">Observation</t>
  </si>
  <si>
    <t xml:space="preserve">Log as an open question for the next requirement baseline</t>
  </si>
  <si>
    <t xml:space="preserve">Summary</t>
  </si>
  <si>
    <t xml:space="preserve">Pass %</t>
  </si>
  <si>
    <t xml:space="preserve">Requirement Traceability Matrix (RTM)</t>
  </si>
  <si>
    <t xml:space="preserve">Requirement Summary</t>
  </si>
  <si>
    <t xml:space="preserve">Mapped Functional TC(s)</t>
  </si>
  <si>
    <t xml:space="preserve">Mapped Review TC(s)</t>
  </si>
  <si>
    <t xml:space="preserve">Coverage Status</t>
  </si>
  <si>
    <t xml:space="preserve">Gap / Remarks</t>
  </si>
  <si>
    <t xml:space="preserve">Username/Password/Submit controls present</t>
  </si>
  <si>
    <t xml:space="preserve">TC_LOGIN_01</t>
  </si>
  <si>
    <t xml:space="preserve">RTC_001, RTC_009-013, RTC_020</t>
  </si>
  <si>
    <t xml:space="preserve">Covered</t>
  </si>
  <si>
    <t xml:space="preserve">Credential rule student/Password123</t>
  </si>
  <si>
    <t xml:space="preserve">RTC_002, RTC_015, RTC_020</t>
  </si>
  <si>
    <t xml:space="preserve">Redirect to /logged-in-successfully/</t>
  </si>
  <si>
    <t xml:space="preserve">RTC_003, RTC_016, RTC_020</t>
  </si>
  <si>
    <t xml:space="preserve">Success message text</t>
  </si>
  <si>
    <t xml:space="preserve">RTC_004, RTC_010, RTC_019, RTC_020, RTC_029</t>
  </si>
  <si>
    <t xml:space="preserve">Covered (wording defect open)</t>
  </si>
  <si>
    <t xml:space="preserve">DEF-INSP-01 / DEF-INSP-03</t>
  </si>
  <si>
    <t xml:space="preserve">Log out button displayed</t>
  </si>
  <si>
    <t xml:space="preserve">RTC_005, RTC_020</t>
  </si>
  <si>
    <t xml:space="preserve">Invalid username error</t>
  </si>
  <si>
    <t xml:space="preserve">TC_LOGIN_02</t>
  </si>
  <si>
    <t xml:space="preserve">RTC_006, RTC_017, RTC_021</t>
  </si>
  <si>
    <t xml:space="preserve">Invalid password error</t>
  </si>
  <si>
    <t xml:space="preserve">TC_LOGIN_03</t>
  </si>
  <si>
    <t xml:space="preserve">RTC_007, RTC_018, RTC_022</t>
  </si>
  <si>
    <t xml:space="preserve">Error shown on same page, no redirect</t>
  </si>
  <si>
    <t xml:space="preserve">None (implicit only)</t>
  </si>
  <si>
    <t xml:space="preserve">RTC_008, RTC_011, RTC_023, RTC_024</t>
  </si>
  <si>
    <t xml:space="preserve">Partially Covered</t>
  </si>
  <si>
    <t xml:space="preserve">DEF-INSP-02 / DEF-INSP-04 — add explicit URL-unchanged assertion</t>
  </si>
  <si>
    <t xml:space="preserve">Combined invalid username+password behaviour</t>
  </si>
  <si>
    <t xml:space="preserve">None</t>
  </si>
  <si>
    <t xml:space="preserve">RTC_026, RTC_027</t>
  </si>
  <si>
    <t xml:space="preserve">Not Covered</t>
  </si>
  <si>
    <t xml:space="preserve">DEF-INSP-06 — requirement clarification required before test design</t>
  </si>
  <si>
    <t xml:space="preserve">Empty-field submit behaviour</t>
  </si>
  <si>
    <t xml:space="preserve">Case-sensitivity of credentials</t>
  </si>
  <si>
    <t xml:space="preserve">DEF-INSP-05 — requirement clarification required before test design</t>
  </si>
  <si>
    <t xml:space="preserve">Logout session/URL effect</t>
  </si>
  <si>
    <t xml:space="preserve">Rate limiting / lockout / CAPTCHA</t>
  </si>
  <si>
    <t xml:space="preserve">RTC_026, RTC_028</t>
  </si>
  <si>
    <t xml:space="preserve">DEF-INSP-07 — escalate to security stakeholders</t>
  </si>
  <si>
    <t xml:space="preserve">Browser/device/responsive support</t>
  </si>
  <si>
    <t xml:space="preserve">Password field masking</t>
  </si>
  <si>
    <t xml:space="preserve">Response time / availability / HTTPS</t>
  </si>
  <si>
    <t xml:space="preserve">DEF-INSP-07 — escalate to performance/security stakeholders</t>
  </si>
  <si>
    <t xml:space="preserve">Coverage Summary</t>
  </si>
  <si>
    <t xml:space="preserve">Total Requirement/Gap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</si>
</sst>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3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</cols>
  <sheetData>
    <row r="1" customFormat="false" ht="22.05" hidden="false" customHeight="false" outlineLevel="0" collapsed="false">
      <c r="A1" s="1" t="s">
        <v>0</v>
      </c>
      <c r="B1" s="1"/>
    </row>
    <row r="2" customFormat="false" ht="16.15" hidden="false" customHeight="fals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 t="s">
        <v>3</v>
      </c>
    </row>
    <row r="5" customFormat="false" ht="27.75" hidden="false" customHeight="true" outlineLevel="0" collapsed="false">
      <c r="A5" s="3" t="s">
        <v>4</v>
      </c>
      <c r="B5" s="4" t="s">
        <v>5</v>
      </c>
    </row>
    <row r="6" customFormat="false" ht="27.75" hidden="false" customHeight="true" outlineLevel="0" collapsed="false">
      <c r="A6" s="3" t="s">
        <v>6</v>
      </c>
      <c r="B6" s="4" t="s">
        <v>7</v>
      </c>
    </row>
    <row r="7" customFormat="false" ht="27.75" hidden="false" customHeight="true" outlineLevel="0" collapsed="false">
      <c r="A7" s="3" t="s">
        <v>8</v>
      </c>
      <c r="B7" s="4" t="s">
        <v>9</v>
      </c>
    </row>
    <row r="8" customFormat="false" ht="27.75" hidden="false" customHeight="true" outlineLevel="0" collapsed="false">
      <c r="A8" s="3" t="s">
        <v>10</v>
      </c>
      <c r="B8" s="4" t="s">
        <v>11</v>
      </c>
    </row>
    <row r="9" customFormat="false" ht="27.75" hidden="false" customHeight="true" outlineLevel="0" collapsed="false">
      <c r="A9" s="3" t="s">
        <v>12</v>
      </c>
      <c r="B9" s="4" t="s">
        <v>13</v>
      </c>
    </row>
    <row r="10" customFormat="false" ht="27.75" hidden="false" customHeight="true" outlineLevel="0" collapsed="false">
      <c r="A10" s="3" t="s">
        <v>14</v>
      </c>
      <c r="B10" s="4" t="s">
        <v>15</v>
      </c>
    </row>
    <row r="11" customFormat="false" ht="27.75" hidden="false" customHeight="true" outlineLevel="0" collapsed="false">
      <c r="A11" s="3" t="s">
        <v>16</v>
      </c>
      <c r="B11" s="4" t="s">
        <v>17</v>
      </c>
    </row>
    <row r="12" customFormat="false" ht="27.75" hidden="false" customHeight="true" outlineLevel="0" collapsed="false">
      <c r="A12" s="3" t="s">
        <v>18</v>
      </c>
      <c r="B12" s="4" t="s">
        <v>19</v>
      </c>
    </row>
    <row r="13" customFormat="false" ht="27.75" hidden="false" customHeight="true" outlineLevel="0" collapsed="false">
      <c r="A13" s="3" t="s">
        <v>20</v>
      </c>
      <c r="B13" s="4" t="s">
        <v>21</v>
      </c>
    </row>
    <row r="14" customFormat="false" ht="27.75" hidden="false" customHeight="true" outlineLevel="0" collapsed="false">
      <c r="A14" s="3" t="s">
        <v>22</v>
      </c>
      <c r="B14" s="4" t="n">
        <f aca="false">COUNTA('Review Test Cases'!A4:A100)-COUNTBLANK('Review Test Cases'!A4:A100)</f>
        <v>-27</v>
      </c>
    </row>
    <row r="16" customFormat="false" ht="15" hidden="false" customHeight="false" outlineLevel="0" collapsed="false">
      <c r="A16" s="5" t="s">
        <v>23</v>
      </c>
    </row>
    <row r="17" customFormat="false" ht="15" hidden="false" customHeight="false" outlineLevel="0" collapsed="false">
      <c r="A17" s="6" t="s">
        <v>24</v>
      </c>
      <c r="B17" s="6"/>
    </row>
    <row r="18" customFormat="false" ht="15" hidden="false" customHeight="false" outlineLevel="0" collapsed="false">
      <c r="A18" s="6" t="s">
        <v>25</v>
      </c>
      <c r="B18" s="6"/>
    </row>
    <row r="19" customFormat="false" ht="15" hidden="false" customHeight="false" outlineLevel="0" collapsed="false">
      <c r="A19" s="6" t="s">
        <v>26</v>
      </c>
      <c r="B19" s="6"/>
    </row>
    <row r="20" customFormat="false" ht="15" hidden="false" customHeight="false" outlineLevel="0" collapsed="false">
      <c r="A20" s="6" t="s">
        <v>27</v>
      </c>
      <c r="B20" s="6"/>
    </row>
  </sheetData>
  <mergeCells count="6">
    <mergeCell ref="A1:B1"/>
    <mergeCell ref="A2:B2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7" t="s">
        <v>28</v>
      </c>
      <c r="B1" s="7"/>
      <c r="C1" s="7"/>
      <c r="D1" s="7"/>
      <c r="E1" s="7"/>
    </row>
    <row r="2" customFormat="false" ht="15" hidden="false" customHeight="false" outlineLevel="0" collapsed="false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</row>
    <row r="3" customFormat="false" ht="23.85" hidden="false" customHeight="false" outlineLevel="0" collapsed="false">
      <c r="A3" s="9" t="s">
        <v>34</v>
      </c>
      <c r="B3" s="10" t="s">
        <v>35</v>
      </c>
      <c r="C3" s="4" t="s">
        <v>36</v>
      </c>
      <c r="D3" s="4" t="s">
        <v>37</v>
      </c>
      <c r="E3" s="4" t="s">
        <v>38</v>
      </c>
    </row>
    <row r="4" customFormat="false" ht="23.85" hidden="false" customHeight="false" outlineLevel="0" collapsed="false">
      <c r="A4" s="9" t="s">
        <v>39</v>
      </c>
      <c r="B4" s="10" t="s">
        <v>35</v>
      </c>
      <c r="C4" s="4" t="s">
        <v>40</v>
      </c>
      <c r="D4" s="4" t="s">
        <v>41</v>
      </c>
      <c r="E4" s="4" t="s">
        <v>38</v>
      </c>
    </row>
    <row r="5" customFormat="false" ht="23.85" hidden="false" customHeight="false" outlineLevel="0" collapsed="false">
      <c r="A5" s="9" t="s">
        <v>42</v>
      </c>
      <c r="B5" s="10" t="s">
        <v>35</v>
      </c>
      <c r="C5" s="4" t="s">
        <v>43</v>
      </c>
      <c r="D5" s="4" t="s">
        <v>44</v>
      </c>
      <c r="E5" s="4" t="s">
        <v>38</v>
      </c>
    </row>
    <row r="6" customFormat="false" ht="23.85" hidden="false" customHeight="false" outlineLevel="0" collapsed="false">
      <c r="A6" s="9" t="s">
        <v>45</v>
      </c>
      <c r="B6" s="10" t="s">
        <v>35</v>
      </c>
      <c r="C6" s="4" t="s">
        <v>46</v>
      </c>
      <c r="D6" s="4" t="s">
        <v>47</v>
      </c>
      <c r="E6" s="4" t="s">
        <v>38</v>
      </c>
    </row>
    <row r="7" customFormat="false" ht="15" hidden="false" customHeight="false" outlineLevel="0" collapsed="false">
      <c r="A7" s="9" t="s">
        <v>48</v>
      </c>
      <c r="B7" s="10" t="s">
        <v>35</v>
      </c>
      <c r="C7" s="4" t="s">
        <v>49</v>
      </c>
      <c r="D7" s="4" t="s">
        <v>50</v>
      </c>
      <c r="E7" s="4" t="s">
        <v>38</v>
      </c>
    </row>
    <row r="8" customFormat="false" ht="23.85" hidden="false" customHeight="false" outlineLevel="0" collapsed="false">
      <c r="A8" s="9" t="s">
        <v>51</v>
      </c>
      <c r="B8" s="10" t="s">
        <v>35</v>
      </c>
      <c r="C8" s="4" t="s">
        <v>52</v>
      </c>
      <c r="D8" s="4" t="s">
        <v>53</v>
      </c>
      <c r="E8" s="4" t="s">
        <v>38</v>
      </c>
    </row>
    <row r="9" customFormat="false" ht="23.85" hidden="false" customHeight="false" outlineLevel="0" collapsed="false">
      <c r="A9" s="9" t="s">
        <v>54</v>
      </c>
      <c r="B9" s="10" t="s">
        <v>35</v>
      </c>
      <c r="C9" s="4" t="s">
        <v>55</v>
      </c>
      <c r="D9" s="4" t="s">
        <v>56</v>
      </c>
      <c r="E9" s="4" t="s">
        <v>38</v>
      </c>
    </row>
    <row r="10" customFormat="false" ht="23.85" hidden="false" customHeight="false" outlineLevel="0" collapsed="false">
      <c r="A10" s="9" t="s">
        <v>57</v>
      </c>
      <c r="B10" s="10" t="s">
        <v>35</v>
      </c>
      <c r="C10" s="4" t="s">
        <v>58</v>
      </c>
      <c r="D10" s="4" t="s">
        <v>59</v>
      </c>
      <c r="E10" s="4" t="s">
        <v>38</v>
      </c>
    </row>
    <row r="11" customFormat="false" ht="23.85" hidden="false" customHeight="false" outlineLevel="0" collapsed="false">
      <c r="A11" s="9" t="s">
        <v>60</v>
      </c>
      <c r="B11" s="11" t="s">
        <v>61</v>
      </c>
      <c r="C11" s="4" t="s">
        <v>62</v>
      </c>
      <c r="D11" s="4" t="s">
        <v>63</v>
      </c>
      <c r="E11" s="4" t="s">
        <v>64</v>
      </c>
    </row>
    <row r="12" customFormat="false" ht="23.85" hidden="false" customHeight="false" outlineLevel="0" collapsed="false">
      <c r="A12" s="9" t="s">
        <v>65</v>
      </c>
      <c r="B12" s="11" t="s">
        <v>61</v>
      </c>
      <c r="C12" s="4" t="s">
        <v>66</v>
      </c>
      <c r="D12" s="4" t="s">
        <v>63</v>
      </c>
      <c r="E12" s="4" t="s">
        <v>64</v>
      </c>
    </row>
    <row r="13" customFormat="false" ht="15" hidden="false" customHeight="false" outlineLevel="0" collapsed="false">
      <c r="A13" s="9" t="s">
        <v>67</v>
      </c>
      <c r="B13" s="11" t="s">
        <v>61</v>
      </c>
      <c r="C13" s="4" t="s">
        <v>68</v>
      </c>
      <c r="D13" s="4" t="s">
        <v>63</v>
      </c>
      <c r="E13" s="4" t="s">
        <v>64</v>
      </c>
    </row>
    <row r="14" customFormat="false" ht="23.85" hidden="false" customHeight="false" outlineLevel="0" collapsed="false">
      <c r="A14" s="9" t="s">
        <v>69</v>
      </c>
      <c r="B14" s="11" t="s">
        <v>61</v>
      </c>
      <c r="C14" s="4" t="s">
        <v>70</v>
      </c>
      <c r="D14" s="4" t="s">
        <v>63</v>
      </c>
      <c r="E14" s="4" t="s">
        <v>64</v>
      </c>
    </row>
    <row r="15" customFormat="false" ht="23.85" hidden="false" customHeight="false" outlineLevel="0" collapsed="false">
      <c r="A15" s="9" t="s">
        <v>71</v>
      </c>
      <c r="B15" s="11" t="s">
        <v>72</v>
      </c>
      <c r="C15" s="4" t="s">
        <v>73</v>
      </c>
      <c r="D15" s="4" t="s">
        <v>63</v>
      </c>
      <c r="E15" s="4" t="s">
        <v>64</v>
      </c>
    </row>
    <row r="16" customFormat="false" ht="23.85" hidden="false" customHeight="false" outlineLevel="0" collapsed="false">
      <c r="A16" s="9" t="s">
        <v>74</v>
      </c>
      <c r="B16" s="11" t="s">
        <v>72</v>
      </c>
      <c r="C16" s="4" t="s">
        <v>75</v>
      </c>
      <c r="D16" s="4" t="s">
        <v>63</v>
      </c>
      <c r="E16" s="4" t="s">
        <v>64</v>
      </c>
    </row>
    <row r="17" customFormat="false" ht="23.85" hidden="false" customHeight="false" outlineLevel="0" collapsed="false">
      <c r="A17" s="9" t="s">
        <v>76</v>
      </c>
      <c r="B17" s="11" t="s">
        <v>72</v>
      </c>
      <c r="C17" s="4" t="s">
        <v>77</v>
      </c>
      <c r="D17" s="4" t="s">
        <v>78</v>
      </c>
      <c r="E17" s="4" t="s">
        <v>64</v>
      </c>
    </row>
    <row r="18" customFormat="false" ht="23.85" hidden="false" customHeight="false" outlineLevel="0" collapsed="false">
      <c r="A18" s="9" t="s">
        <v>79</v>
      </c>
      <c r="B18" s="11" t="s">
        <v>72</v>
      </c>
      <c r="C18" s="4" t="s">
        <v>80</v>
      </c>
      <c r="D18" s="4" t="s">
        <v>63</v>
      </c>
      <c r="E18" s="4" t="s">
        <v>64</v>
      </c>
    </row>
    <row r="19" customFormat="false" ht="35.05" hidden="false" customHeight="false" outlineLevel="0" collapsed="false">
      <c r="A19" s="9" t="s">
        <v>81</v>
      </c>
      <c r="B19" s="12" t="s">
        <v>82</v>
      </c>
      <c r="C19" s="4" t="s">
        <v>83</v>
      </c>
      <c r="D19" s="4" t="s">
        <v>47</v>
      </c>
      <c r="E19" s="4" t="s">
        <v>64</v>
      </c>
    </row>
    <row r="20" customFormat="false" ht="35.05" hidden="false" customHeight="false" outlineLevel="0" collapsed="false">
      <c r="A20" s="9" t="s">
        <v>84</v>
      </c>
      <c r="B20" s="12" t="s">
        <v>82</v>
      </c>
      <c r="C20" s="4" t="s">
        <v>85</v>
      </c>
      <c r="D20" s="4" t="s">
        <v>86</v>
      </c>
      <c r="E20" s="4" t="s">
        <v>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7" t="s">
        <v>87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3.75" hidden="false" customHeight="true" outlineLevel="0" collapsed="false">
      <c r="A2" s="8" t="s">
        <v>88</v>
      </c>
      <c r="B2" s="8" t="s">
        <v>89</v>
      </c>
      <c r="C2" s="8" t="s">
        <v>90</v>
      </c>
      <c r="D2" s="8" t="s">
        <v>91</v>
      </c>
      <c r="E2" s="8" t="s">
        <v>92</v>
      </c>
      <c r="F2" s="8" t="s">
        <v>93</v>
      </c>
      <c r="G2" s="8" t="s">
        <v>94</v>
      </c>
      <c r="H2" s="8" t="s">
        <v>95</v>
      </c>
      <c r="I2" s="8" t="s">
        <v>96</v>
      </c>
      <c r="J2" s="8" t="s">
        <v>97</v>
      </c>
      <c r="K2" s="8" t="s">
        <v>98</v>
      </c>
      <c r="L2" s="8" t="s">
        <v>99</v>
      </c>
    </row>
    <row r="3" customFormat="false" ht="23.85" hidden="false" customHeight="false" outlineLevel="0" collapsed="false">
      <c r="A3" s="9" t="s">
        <v>100</v>
      </c>
      <c r="B3" s="4" t="s">
        <v>101</v>
      </c>
      <c r="C3" s="4" t="s">
        <v>34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13" t="s">
        <v>107</v>
      </c>
      <c r="J3" s="4" t="s">
        <v>108</v>
      </c>
      <c r="K3" s="4" t="s">
        <v>108</v>
      </c>
      <c r="L3" s="4" t="s">
        <v>109</v>
      </c>
    </row>
    <row r="4" customFormat="false" ht="35.05" hidden="false" customHeight="false" outlineLevel="0" collapsed="false">
      <c r="A4" s="9" t="s">
        <v>110</v>
      </c>
      <c r="B4" s="4" t="s">
        <v>101</v>
      </c>
      <c r="C4" s="4" t="s">
        <v>39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13" t="s">
        <v>107</v>
      </c>
      <c r="J4" s="4" t="s">
        <v>108</v>
      </c>
      <c r="K4" s="4" t="s">
        <v>108</v>
      </c>
      <c r="L4" s="4" t="s">
        <v>109</v>
      </c>
    </row>
    <row r="5" customFormat="false" ht="23.85" hidden="false" customHeight="false" outlineLevel="0" collapsed="false">
      <c r="A5" s="9" t="s">
        <v>116</v>
      </c>
      <c r="B5" s="4" t="s">
        <v>101</v>
      </c>
      <c r="C5" s="4" t="s">
        <v>42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13" t="s">
        <v>107</v>
      </c>
      <c r="J5" s="4" t="s">
        <v>108</v>
      </c>
      <c r="K5" s="4" t="s">
        <v>108</v>
      </c>
      <c r="L5" s="4" t="s">
        <v>109</v>
      </c>
    </row>
    <row r="6" customFormat="false" ht="23.85" hidden="false" customHeight="false" outlineLevel="0" collapsed="false">
      <c r="A6" s="9" t="s">
        <v>122</v>
      </c>
      <c r="B6" s="4" t="s">
        <v>101</v>
      </c>
      <c r="C6" s="4" t="s">
        <v>45</v>
      </c>
      <c r="D6" s="4" t="s">
        <v>123</v>
      </c>
      <c r="E6" s="4" t="s">
        <v>124</v>
      </c>
      <c r="F6" s="4" t="s">
        <v>125</v>
      </c>
      <c r="G6" s="4" t="s">
        <v>126</v>
      </c>
      <c r="H6" s="4" t="s">
        <v>127</v>
      </c>
      <c r="I6" s="14" t="s">
        <v>128</v>
      </c>
      <c r="J6" s="4" t="s">
        <v>129</v>
      </c>
      <c r="K6" s="4" t="s">
        <v>130</v>
      </c>
      <c r="L6" s="4" t="s">
        <v>131</v>
      </c>
    </row>
    <row r="7" customFormat="false" ht="23.85" hidden="false" customHeight="false" outlineLevel="0" collapsed="false">
      <c r="A7" s="9" t="s">
        <v>132</v>
      </c>
      <c r="B7" s="4" t="s">
        <v>101</v>
      </c>
      <c r="C7" s="4" t="s">
        <v>48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13" t="s">
        <v>107</v>
      </c>
      <c r="J7" s="4" t="s">
        <v>108</v>
      </c>
      <c r="K7" s="4" t="s">
        <v>108</v>
      </c>
      <c r="L7" s="4" t="s">
        <v>109</v>
      </c>
    </row>
    <row r="8" customFormat="false" ht="23.85" hidden="false" customHeight="false" outlineLevel="0" collapsed="false">
      <c r="A8" s="9" t="s">
        <v>138</v>
      </c>
      <c r="B8" s="4" t="s">
        <v>101</v>
      </c>
      <c r="C8" s="4" t="s">
        <v>51</v>
      </c>
      <c r="D8" s="4" t="s">
        <v>139</v>
      </c>
      <c r="E8" s="4" t="s">
        <v>140</v>
      </c>
      <c r="F8" s="4" t="s">
        <v>135</v>
      </c>
      <c r="G8" s="4" t="s">
        <v>141</v>
      </c>
      <c r="H8" s="4" t="s">
        <v>142</v>
      </c>
      <c r="I8" s="13" t="s">
        <v>107</v>
      </c>
      <c r="J8" s="4" t="s">
        <v>108</v>
      </c>
      <c r="K8" s="4" t="s">
        <v>108</v>
      </c>
      <c r="L8" s="4" t="s">
        <v>109</v>
      </c>
    </row>
    <row r="9" customFormat="false" ht="23.85" hidden="false" customHeight="false" outlineLevel="0" collapsed="false">
      <c r="A9" s="9" t="s">
        <v>143</v>
      </c>
      <c r="B9" s="4" t="s">
        <v>101</v>
      </c>
      <c r="C9" s="4" t="s">
        <v>54</v>
      </c>
      <c r="D9" s="4" t="s">
        <v>144</v>
      </c>
      <c r="E9" s="4" t="s">
        <v>140</v>
      </c>
      <c r="F9" s="4" t="s">
        <v>135</v>
      </c>
      <c r="G9" s="4" t="s">
        <v>145</v>
      </c>
      <c r="H9" s="4" t="s">
        <v>142</v>
      </c>
      <c r="I9" s="13" t="s">
        <v>107</v>
      </c>
      <c r="J9" s="4" t="s">
        <v>108</v>
      </c>
      <c r="K9" s="4" t="s">
        <v>108</v>
      </c>
      <c r="L9" s="4" t="s">
        <v>109</v>
      </c>
    </row>
    <row r="10" customFormat="false" ht="35.05" hidden="false" customHeight="false" outlineLevel="0" collapsed="false">
      <c r="A10" s="9" t="s">
        <v>146</v>
      </c>
      <c r="B10" s="4" t="s">
        <v>101</v>
      </c>
      <c r="C10" s="4" t="s">
        <v>57</v>
      </c>
      <c r="D10" s="4" t="s">
        <v>147</v>
      </c>
      <c r="E10" s="4" t="s">
        <v>148</v>
      </c>
      <c r="F10" s="4" t="s">
        <v>135</v>
      </c>
      <c r="G10" s="4" t="s">
        <v>149</v>
      </c>
      <c r="H10" s="4" t="s">
        <v>150</v>
      </c>
      <c r="I10" s="14" t="s">
        <v>128</v>
      </c>
      <c r="J10" s="4" t="s">
        <v>151</v>
      </c>
      <c r="K10" s="4" t="s">
        <v>152</v>
      </c>
      <c r="L10" s="4" t="s">
        <v>153</v>
      </c>
    </row>
    <row r="11" customFormat="false" ht="23.85" hidden="false" customHeight="false" outlineLevel="0" collapsed="false">
      <c r="A11" s="9" t="s">
        <v>154</v>
      </c>
      <c r="B11" s="4" t="s">
        <v>155</v>
      </c>
      <c r="C11" s="4" t="s">
        <v>156</v>
      </c>
      <c r="D11" s="4" t="s">
        <v>157</v>
      </c>
      <c r="E11" s="4" t="s">
        <v>158</v>
      </c>
      <c r="F11" s="4" t="s">
        <v>159</v>
      </c>
      <c r="G11" s="4" t="s">
        <v>160</v>
      </c>
      <c r="H11" s="4" t="s">
        <v>161</v>
      </c>
      <c r="I11" s="13" t="s">
        <v>107</v>
      </c>
      <c r="J11" s="4" t="s">
        <v>108</v>
      </c>
      <c r="K11" s="4" t="s">
        <v>108</v>
      </c>
      <c r="L11" s="4" t="s">
        <v>109</v>
      </c>
    </row>
    <row r="12" customFormat="false" ht="23.85" hidden="false" customHeight="false" outlineLevel="0" collapsed="false">
      <c r="A12" s="9" t="s">
        <v>162</v>
      </c>
      <c r="B12" s="4" t="s">
        <v>155</v>
      </c>
      <c r="C12" s="4" t="s">
        <v>156</v>
      </c>
      <c r="D12" s="4" t="s">
        <v>163</v>
      </c>
      <c r="E12" s="4" t="s">
        <v>164</v>
      </c>
      <c r="F12" s="4" t="s">
        <v>165</v>
      </c>
      <c r="G12" s="4" t="s">
        <v>166</v>
      </c>
      <c r="H12" s="4" t="s">
        <v>167</v>
      </c>
      <c r="I12" s="14" t="s">
        <v>128</v>
      </c>
      <c r="J12" s="4" t="s">
        <v>129</v>
      </c>
      <c r="K12" s="4" t="s">
        <v>130</v>
      </c>
      <c r="L12" s="4" t="s">
        <v>168</v>
      </c>
    </row>
    <row r="13" customFormat="false" ht="23.85" hidden="false" customHeight="false" outlineLevel="0" collapsed="false">
      <c r="A13" s="9" t="s">
        <v>169</v>
      </c>
      <c r="B13" s="4" t="s">
        <v>155</v>
      </c>
      <c r="C13" s="4" t="s">
        <v>156</v>
      </c>
      <c r="D13" s="4" t="s">
        <v>170</v>
      </c>
      <c r="E13" s="4" t="s">
        <v>171</v>
      </c>
      <c r="F13" s="4" t="s">
        <v>172</v>
      </c>
      <c r="G13" s="4" t="s">
        <v>173</v>
      </c>
      <c r="H13" s="4" t="s">
        <v>174</v>
      </c>
      <c r="I13" s="14" t="s">
        <v>128</v>
      </c>
      <c r="J13" s="4" t="s">
        <v>151</v>
      </c>
      <c r="K13" s="4" t="s">
        <v>152</v>
      </c>
      <c r="L13" s="4" t="s">
        <v>175</v>
      </c>
    </row>
    <row r="14" customFormat="false" ht="23.85" hidden="false" customHeight="false" outlineLevel="0" collapsed="false">
      <c r="A14" s="9" t="s">
        <v>176</v>
      </c>
      <c r="B14" s="4" t="s">
        <v>155</v>
      </c>
      <c r="C14" s="4" t="s">
        <v>156</v>
      </c>
      <c r="D14" s="4" t="s">
        <v>177</v>
      </c>
      <c r="E14" s="4" t="s">
        <v>178</v>
      </c>
      <c r="F14" s="4" t="s">
        <v>179</v>
      </c>
      <c r="G14" s="4" t="s">
        <v>180</v>
      </c>
      <c r="H14" s="4" t="s">
        <v>181</v>
      </c>
      <c r="I14" s="13" t="s">
        <v>107</v>
      </c>
      <c r="J14" s="4" t="s">
        <v>108</v>
      </c>
      <c r="K14" s="4" t="s">
        <v>108</v>
      </c>
      <c r="L14" s="4" t="s">
        <v>109</v>
      </c>
    </row>
    <row r="15" customFormat="false" ht="23.85" hidden="false" customHeight="false" outlineLevel="0" collapsed="false">
      <c r="A15" s="9" t="s">
        <v>182</v>
      </c>
      <c r="B15" s="4" t="s">
        <v>155</v>
      </c>
      <c r="C15" s="4" t="s">
        <v>156</v>
      </c>
      <c r="D15" s="4" t="s">
        <v>183</v>
      </c>
      <c r="E15" s="4" t="s">
        <v>184</v>
      </c>
      <c r="F15" s="4" t="s">
        <v>185</v>
      </c>
      <c r="G15" s="4" t="s">
        <v>186</v>
      </c>
      <c r="H15" s="4" t="s">
        <v>187</v>
      </c>
      <c r="I15" s="13" t="s">
        <v>107</v>
      </c>
      <c r="J15" s="4" t="s">
        <v>108</v>
      </c>
      <c r="K15" s="4" t="s">
        <v>108</v>
      </c>
      <c r="L15" s="4" t="s">
        <v>109</v>
      </c>
    </row>
    <row r="16" customFormat="false" ht="23.85" hidden="false" customHeight="false" outlineLevel="0" collapsed="false">
      <c r="A16" s="9" t="s">
        <v>188</v>
      </c>
      <c r="B16" s="4" t="s">
        <v>155</v>
      </c>
      <c r="C16" s="4" t="s">
        <v>156</v>
      </c>
      <c r="D16" s="4" t="s">
        <v>189</v>
      </c>
      <c r="E16" s="4" t="s">
        <v>190</v>
      </c>
      <c r="F16" s="4" t="s">
        <v>191</v>
      </c>
      <c r="G16" s="4" t="s">
        <v>192</v>
      </c>
      <c r="H16" s="4" t="s">
        <v>193</v>
      </c>
      <c r="I16" s="13" t="s">
        <v>107</v>
      </c>
      <c r="J16" s="4" t="s">
        <v>108</v>
      </c>
      <c r="K16" s="4" t="s">
        <v>108</v>
      </c>
      <c r="L16" s="4" t="s">
        <v>109</v>
      </c>
    </row>
    <row r="17" customFormat="false" ht="35.05" hidden="false" customHeight="false" outlineLevel="0" collapsed="false">
      <c r="A17" s="9" t="s">
        <v>194</v>
      </c>
      <c r="B17" s="4" t="s">
        <v>195</v>
      </c>
      <c r="C17" s="4" t="s">
        <v>39</v>
      </c>
      <c r="D17" s="4" t="s">
        <v>196</v>
      </c>
      <c r="E17" s="4" t="s">
        <v>197</v>
      </c>
      <c r="F17" s="4" t="s">
        <v>198</v>
      </c>
      <c r="G17" s="4" t="s">
        <v>199</v>
      </c>
      <c r="H17" s="4" t="s">
        <v>200</v>
      </c>
      <c r="I17" s="13" t="s">
        <v>107</v>
      </c>
      <c r="J17" s="4" t="s">
        <v>108</v>
      </c>
      <c r="K17" s="4" t="s">
        <v>108</v>
      </c>
      <c r="L17" s="4" t="s">
        <v>109</v>
      </c>
    </row>
    <row r="18" customFormat="false" ht="23.85" hidden="false" customHeight="false" outlineLevel="0" collapsed="false">
      <c r="A18" s="9" t="s">
        <v>201</v>
      </c>
      <c r="B18" s="4" t="s">
        <v>195</v>
      </c>
      <c r="C18" s="4" t="s">
        <v>42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13" t="s">
        <v>107</v>
      </c>
      <c r="J18" s="4" t="s">
        <v>108</v>
      </c>
      <c r="K18" s="4" t="s">
        <v>108</v>
      </c>
      <c r="L18" s="4" t="s">
        <v>109</v>
      </c>
    </row>
    <row r="19" customFormat="false" ht="23.85" hidden="false" customHeight="false" outlineLevel="0" collapsed="false">
      <c r="A19" s="9" t="s">
        <v>207</v>
      </c>
      <c r="B19" s="4" t="s">
        <v>195</v>
      </c>
      <c r="C19" s="4" t="s">
        <v>51</v>
      </c>
      <c r="D19" s="4" t="s">
        <v>208</v>
      </c>
      <c r="E19" s="4" t="s">
        <v>209</v>
      </c>
      <c r="F19" s="4" t="s">
        <v>204</v>
      </c>
      <c r="G19" s="4" t="s">
        <v>210</v>
      </c>
      <c r="H19" s="4" t="s">
        <v>206</v>
      </c>
      <c r="I19" s="13" t="s">
        <v>107</v>
      </c>
      <c r="J19" s="4" t="s">
        <v>108</v>
      </c>
      <c r="K19" s="4" t="s">
        <v>108</v>
      </c>
      <c r="L19" s="4" t="s">
        <v>109</v>
      </c>
    </row>
    <row r="20" customFormat="false" ht="23.85" hidden="false" customHeight="false" outlineLevel="0" collapsed="false">
      <c r="A20" s="9" t="s">
        <v>211</v>
      </c>
      <c r="B20" s="4" t="s">
        <v>195</v>
      </c>
      <c r="C20" s="4" t="s">
        <v>54</v>
      </c>
      <c r="D20" s="4" t="s">
        <v>212</v>
      </c>
      <c r="E20" s="4" t="s">
        <v>213</v>
      </c>
      <c r="F20" s="4" t="s">
        <v>204</v>
      </c>
      <c r="G20" s="4" t="s">
        <v>210</v>
      </c>
      <c r="H20" s="4" t="s">
        <v>206</v>
      </c>
      <c r="I20" s="13" t="s">
        <v>107</v>
      </c>
      <c r="J20" s="4" t="s">
        <v>108</v>
      </c>
      <c r="K20" s="4" t="s">
        <v>108</v>
      </c>
      <c r="L20" s="4" t="s">
        <v>109</v>
      </c>
    </row>
    <row r="21" customFormat="false" ht="46.25" hidden="false" customHeight="false" outlineLevel="0" collapsed="false">
      <c r="A21" s="9" t="s">
        <v>214</v>
      </c>
      <c r="B21" s="4" t="s">
        <v>195</v>
      </c>
      <c r="C21" s="4" t="s">
        <v>45</v>
      </c>
      <c r="D21" s="4" t="s">
        <v>215</v>
      </c>
      <c r="E21" s="4" t="s">
        <v>216</v>
      </c>
      <c r="F21" s="4" t="s">
        <v>204</v>
      </c>
      <c r="G21" s="4" t="s">
        <v>217</v>
      </c>
      <c r="H21" s="4" t="s">
        <v>218</v>
      </c>
      <c r="I21" s="14" t="s">
        <v>128</v>
      </c>
      <c r="J21" s="4" t="s">
        <v>151</v>
      </c>
      <c r="K21" s="4" t="s">
        <v>219</v>
      </c>
      <c r="L21" s="4" t="s">
        <v>220</v>
      </c>
    </row>
    <row r="22" customFormat="false" ht="35.05" hidden="false" customHeight="false" outlineLevel="0" collapsed="false">
      <c r="A22" s="9" t="s">
        <v>221</v>
      </c>
      <c r="B22" s="4" t="s">
        <v>222</v>
      </c>
      <c r="C22" s="4" t="s">
        <v>223</v>
      </c>
      <c r="D22" s="4" t="s">
        <v>224</v>
      </c>
      <c r="E22" s="4" t="s">
        <v>225</v>
      </c>
      <c r="F22" s="4" t="s">
        <v>226</v>
      </c>
      <c r="G22" s="4" t="s">
        <v>227</v>
      </c>
      <c r="H22" s="4" t="s">
        <v>228</v>
      </c>
      <c r="I22" s="13" t="s">
        <v>107</v>
      </c>
      <c r="J22" s="4" t="s">
        <v>108</v>
      </c>
      <c r="K22" s="4" t="s">
        <v>108</v>
      </c>
      <c r="L22" s="4" t="s">
        <v>109</v>
      </c>
    </row>
    <row r="23" customFormat="false" ht="23.85" hidden="false" customHeight="false" outlineLevel="0" collapsed="false">
      <c r="A23" s="9" t="s">
        <v>229</v>
      </c>
      <c r="B23" s="4" t="s">
        <v>222</v>
      </c>
      <c r="C23" s="4" t="s">
        <v>51</v>
      </c>
      <c r="D23" s="4" t="s">
        <v>230</v>
      </c>
      <c r="E23" s="4" t="s">
        <v>231</v>
      </c>
      <c r="F23" s="4" t="s">
        <v>226</v>
      </c>
      <c r="G23" s="4" t="s">
        <v>232</v>
      </c>
      <c r="H23" s="4" t="s">
        <v>233</v>
      </c>
      <c r="I23" s="13" t="s">
        <v>107</v>
      </c>
      <c r="J23" s="4" t="s">
        <v>108</v>
      </c>
      <c r="K23" s="4" t="s">
        <v>108</v>
      </c>
      <c r="L23" s="4" t="s">
        <v>109</v>
      </c>
    </row>
    <row r="24" customFormat="false" ht="23.85" hidden="false" customHeight="false" outlineLevel="0" collapsed="false">
      <c r="A24" s="9" t="s">
        <v>234</v>
      </c>
      <c r="B24" s="4" t="s">
        <v>222</v>
      </c>
      <c r="C24" s="4" t="s">
        <v>54</v>
      </c>
      <c r="D24" s="4" t="s">
        <v>235</v>
      </c>
      <c r="E24" s="4" t="s">
        <v>231</v>
      </c>
      <c r="F24" s="4" t="s">
        <v>226</v>
      </c>
      <c r="G24" s="4" t="s">
        <v>232</v>
      </c>
      <c r="H24" s="4" t="s">
        <v>236</v>
      </c>
      <c r="I24" s="13" t="s">
        <v>107</v>
      </c>
      <c r="J24" s="4" t="s">
        <v>108</v>
      </c>
      <c r="K24" s="4" t="s">
        <v>108</v>
      </c>
      <c r="L24" s="4" t="s">
        <v>109</v>
      </c>
    </row>
    <row r="25" customFormat="false" ht="23.85" hidden="false" customHeight="false" outlineLevel="0" collapsed="false">
      <c r="A25" s="9" t="s">
        <v>237</v>
      </c>
      <c r="B25" s="4" t="s">
        <v>222</v>
      </c>
      <c r="C25" s="4" t="s">
        <v>57</v>
      </c>
      <c r="D25" s="4" t="s">
        <v>238</v>
      </c>
      <c r="E25" s="4" t="s">
        <v>239</v>
      </c>
      <c r="F25" s="4" t="s">
        <v>226</v>
      </c>
      <c r="G25" s="4" t="s">
        <v>240</v>
      </c>
      <c r="H25" s="4" t="s">
        <v>241</v>
      </c>
      <c r="I25" s="14" t="s">
        <v>128</v>
      </c>
      <c r="J25" s="4" t="s">
        <v>151</v>
      </c>
      <c r="K25" s="4" t="s">
        <v>242</v>
      </c>
      <c r="L25" s="4" t="s">
        <v>243</v>
      </c>
    </row>
    <row r="26" customFormat="false" ht="35.05" hidden="false" customHeight="false" outlineLevel="0" collapsed="false">
      <c r="A26" s="9" t="s">
        <v>244</v>
      </c>
      <c r="B26" s="4" t="s">
        <v>245</v>
      </c>
      <c r="C26" s="4" t="s">
        <v>156</v>
      </c>
      <c r="D26" s="4" t="s">
        <v>246</v>
      </c>
      <c r="E26" s="4" t="s">
        <v>247</v>
      </c>
      <c r="F26" s="4" t="s">
        <v>248</v>
      </c>
      <c r="G26" s="4" t="s">
        <v>249</v>
      </c>
      <c r="H26" s="4" t="s">
        <v>250</v>
      </c>
      <c r="I26" s="14" t="s">
        <v>128</v>
      </c>
      <c r="J26" s="4" t="s">
        <v>151</v>
      </c>
      <c r="K26" s="4" t="s">
        <v>242</v>
      </c>
      <c r="L26" s="4" t="s">
        <v>251</v>
      </c>
    </row>
    <row r="27" customFormat="false" ht="23.85" hidden="false" customHeight="false" outlineLevel="0" collapsed="false">
      <c r="A27" s="9" t="s">
        <v>252</v>
      </c>
      <c r="B27" s="4" t="s">
        <v>245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13" t="s">
        <v>107</v>
      </c>
      <c r="J27" s="4" t="s">
        <v>108</v>
      </c>
      <c r="K27" s="4" t="s">
        <v>108</v>
      </c>
      <c r="L27" s="4" t="s">
        <v>109</v>
      </c>
    </row>
    <row r="28" customFormat="false" ht="23.85" hidden="false" customHeight="false" outlineLevel="0" collapsed="false">
      <c r="A28" s="9" t="s">
        <v>259</v>
      </c>
      <c r="B28" s="4" t="s">
        <v>245</v>
      </c>
      <c r="C28" s="4" t="s">
        <v>260</v>
      </c>
      <c r="D28" s="4" t="s">
        <v>261</v>
      </c>
      <c r="E28" s="4" t="s">
        <v>262</v>
      </c>
      <c r="F28" s="4" t="s">
        <v>263</v>
      </c>
      <c r="G28" s="4" t="s">
        <v>264</v>
      </c>
      <c r="H28" s="4" t="s">
        <v>265</v>
      </c>
      <c r="I28" s="14" t="s">
        <v>128</v>
      </c>
      <c r="J28" s="4" t="s">
        <v>129</v>
      </c>
      <c r="K28" s="4" t="s">
        <v>266</v>
      </c>
      <c r="L28" s="4" t="s">
        <v>267</v>
      </c>
    </row>
    <row r="29" customFormat="false" ht="35.05" hidden="false" customHeight="false" outlineLevel="0" collapsed="false">
      <c r="A29" s="9" t="s">
        <v>268</v>
      </c>
      <c r="B29" s="4" t="s">
        <v>269</v>
      </c>
      <c r="C29" s="4" t="s">
        <v>270</v>
      </c>
      <c r="D29" s="4" t="s">
        <v>271</v>
      </c>
      <c r="E29" s="4" t="s">
        <v>272</v>
      </c>
      <c r="F29" s="4" t="s">
        <v>273</v>
      </c>
      <c r="G29" s="4" t="s">
        <v>274</v>
      </c>
      <c r="H29" s="4" t="s">
        <v>275</v>
      </c>
      <c r="I29" s="14" t="s">
        <v>128</v>
      </c>
      <c r="J29" s="4" t="s">
        <v>129</v>
      </c>
      <c r="K29" s="4" t="s">
        <v>276</v>
      </c>
      <c r="L29" s="4" t="s">
        <v>277</v>
      </c>
    </row>
    <row r="30" customFormat="false" ht="35.05" hidden="false" customHeight="false" outlineLevel="0" collapsed="false">
      <c r="A30" s="9" t="s">
        <v>278</v>
      </c>
      <c r="B30" s="4" t="s">
        <v>269</v>
      </c>
      <c r="C30" s="4" t="s">
        <v>279</v>
      </c>
      <c r="D30" s="4" t="s">
        <v>280</v>
      </c>
      <c r="E30" s="4" t="s">
        <v>281</v>
      </c>
      <c r="F30" s="4" t="s">
        <v>282</v>
      </c>
      <c r="G30" s="4" t="s">
        <v>283</v>
      </c>
      <c r="H30" s="4" t="s">
        <v>284</v>
      </c>
      <c r="I30" s="14" t="s">
        <v>128</v>
      </c>
      <c r="J30" s="4" t="s">
        <v>129</v>
      </c>
      <c r="K30" s="4" t="s">
        <v>285</v>
      </c>
      <c r="L30" s="4" t="s">
        <v>286</v>
      </c>
    </row>
    <row r="31" customFormat="false" ht="35.05" hidden="false" customHeight="false" outlineLevel="0" collapsed="false">
      <c r="A31" s="9" t="s">
        <v>287</v>
      </c>
      <c r="B31" s="4" t="s">
        <v>288</v>
      </c>
      <c r="C31" s="4" t="s">
        <v>81</v>
      </c>
      <c r="D31" s="4" t="s">
        <v>289</v>
      </c>
      <c r="E31" s="4" t="s">
        <v>290</v>
      </c>
      <c r="F31" s="4" t="s">
        <v>291</v>
      </c>
      <c r="G31" s="4" t="s">
        <v>292</v>
      </c>
      <c r="H31" s="4" t="s">
        <v>293</v>
      </c>
      <c r="I31" s="14" t="s">
        <v>128</v>
      </c>
      <c r="J31" s="4" t="s">
        <v>151</v>
      </c>
      <c r="K31" s="4" t="s">
        <v>219</v>
      </c>
      <c r="L31" s="4" t="s">
        <v>294</v>
      </c>
    </row>
    <row r="32" customFormat="false" ht="35.05" hidden="false" customHeight="false" outlineLevel="0" collapsed="false">
      <c r="A32" s="9" t="s">
        <v>295</v>
      </c>
      <c r="B32" s="4" t="s">
        <v>288</v>
      </c>
      <c r="C32" s="4" t="s">
        <v>84</v>
      </c>
      <c r="D32" s="4" t="s">
        <v>296</v>
      </c>
      <c r="E32" s="4" t="s">
        <v>297</v>
      </c>
      <c r="F32" s="4" t="s">
        <v>298</v>
      </c>
      <c r="G32" s="4" t="s">
        <v>299</v>
      </c>
      <c r="H32" s="4" t="s">
        <v>300</v>
      </c>
      <c r="I32" s="15" t="s">
        <v>301</v>
      </c>
      <c r="J32" s="4" t="s">
        <v>151</v>
      </c>
      <c r="K32" s="4" t="s">
        <v>108</v>
      </c>
      <c r="L32" s="4" t="s">
        <v>302</v>
      </c>
    </row>
    <row r="34" customFormat="false" ht="15" hidden="false" customHeight="false" outlineLevel="0" collapsed="false">
      <c r="A34" s="5" t="s">
        <v>303</v>
      </c>
    </row>
    <row r="35" customFormat="false" ht="15" hidden="false" customHeight="false" outlineLevel="0" collapsed="false">
      <c r="A35" s="16" t="s">
        <v>22</v>
      </c>
      <c r="B35" s="17" t="n">
        <f aca="false">COUNTA(A3:A32)</f>
        <v>30</v>
      </c>
    </row>
    <row r="36" customFormat="false" ht="15" hidden="false" customHeight="false" outlineLevel="0" collapsed="false">
      <c r="A36" s="16" t="s">
        <v>107</v>
      </c>
      <c r="B36" s="17" t="n">
        <f aca="false">COUNTIF(I3:I32,"Pass")</f>
        <v>18</v>
      </c>
    </row>
    <row r="37" customFormat="false" ht="15" hidden="false" customHeight="false" outlineLevel="0" collapsed="false">
      <c r="A37" s="16" t="s">
        <v>128</v>
      </c>
      <c r="B37" s="17" t="n">
        <f aca="false">COUNTIF(I3:I32,"Fail")</f>
        <v>11</v>
      </c>
    </row>
    <row r="38" customFormat="false" ht="15" hidden="false" customHeight="false" outlineLevel="0" collapsed="false">
      <c r="A38" s="16" t="s">
        <v>301</v>
      </c>
      <c r="B38" s="17" t="n">
        <f aca="false">COUNTIF(I3:I32,"Observation")</f>
        <v>1</v>
      </c>
    </row>
    <row r="39" customFormat="false" ht="15" hidden="false" customHeight="false" outlineLevel="0" collapsed="false">
      <c r="A39" s="5" t="s">
        <v>304</v>
      </c>
      <c r="B39" s="0" t="str">
        <f aca="false">TEXT(COUNTIF(I3:I32,"Pass")/COUNTA(A3:A32),"0.0%")</f>
        <v>60.0%</v>
      </c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I3:I32" type="list">
      <formula1>"Pass,Fail,Open,Observation"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7" t="s">
        <v>305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29</v>
      </c>
      <c r="B2" s="8" t="s">
        <v>306</v>
      </c>
      <c r="C2" s="8" t="s">
        <v>307</v>
      </c>
      <c r="D2" s="8" t="s">
        <v>308</v>
      </c>
      <c r="E2" s="8" t="s">
        <v>309</v>
      </c>
      <c r="F2" s="8" t="s">
        <v>310</v>
      </c>
    </row>
    <row r="3" customFormat="false" ht="23.85" hidden="false" customHeight="false" outlineLevel="0" collapsed="false">
      <c r="A3" s="9" t="s">
        <v>34</v>
      </c>
      <c r="B3" s="4" t="s">
        <v>311</v>
      </c>
      <c r="C3" s="4" t="s">
        <v>312</v>
      </c>
      <c r="D3" s="4" t="s">
        <v>313</v>
      </c>
      <c r="E3" s="13" t="s">
        <v>314</v>
      </c>
      <c r="F3" s="4" t="s">
        <v>108</v>
      </c>
    </row>
    <row r="4" customFormat="false" ht="15" hidden="false" customHeight="false" outlineLevel="0" collapsed="false">
      <c r="A4" s="9" t="s">
        <v>39</v>
      </c>
      <c r="B4" s="4" t="s">
        <v>315</v>
      </c>
      <c r="C4" s="4" t="s">
        <v>312</v>
      </c>
      <c r="D4" s="4" t="s">
        <v>316</v>
      </c>
      <c r="E4" s="13" t="s">
        <v>314</v>
      </c>
      <c r="F4" s="4" t="s">
        <v>108</v>
      </c>
    </row>
    <row r="5" customFormat="false" ht="15" hidden="false" customHeight="false" outlineLevel="0" collapsed="false">
      <c r="A5" s="9" t="s">
        <v>42</v>
      </c>
      <c r="B5" s="4" t="s">
        <v>317</v>
      </c>
      <c r="C5" s="4" t="s">
        <v>312</v>
      </c>
      <c r="D5" s="4" t="s">
        <v>318</v>
      </c>
      <c r="E5" s="13" t="s">
        <v>314</v>
      </c>
      <c r="F5" s="4" t="s">
        <v>108</v>
      </c>
    </row>
    <row r="6" customFormat="false" ht="23.85" hidden="false" customHeight="false" outlineLevel="0" collapsed="false">
      <c r="A6" s="9" t="s">
        <v>45</v>
      </c>
      <c r="B6" s="4" t="s">
        <v>319</v>
      </c>
      <c r="C6" s="4" t="s">
        <v>312</v>
      </c>
      <c r="D6" s="4" t="s">
        <v>320</v>
      </c>
      <c r="E6" s="14" t="s">
        <v>321</v>
      </c>
      <c r="F6" s="4" t="s">
        <v>322</v>
      </c>
    </row>
    <row r="7" customFormat="false" ht="15" hidden="false" customHeight="false" outlineLevel="0" collapsed="false">
      <c r="A7" s="9" t="s">
        <v>48</v>
      </c>
      <c r="B7" s="4" t="s">
        <v>323</v>
      </c>
      <c r="C7" s="4" t="s">
        <v>312</v>
      </c>
      <c r="D7" s="4" t="s">
        <v>324</v>
      </c>
      <c r="E7" s="13" t="s">
        <v>314</v>
      </c>
      <c r="F7" s="4" t="s">
        <v>108</v>
      </c>
    </row>
    <row r="8" customFormat="false" ht="15" hidden="false" customHeight="false" outlineLevel="0" collapsed="false">
      <c r="A8" s="9" t="s">
        <v>51</v>
      </c>
      <c r="B8" s="4" t="s">
        <v>325</v>
      </c>
      <c r="C8" s="4" t="s">
        <v>326</v>
      </c>
      <c r="D8" s="4" t="s">
        <v>327</v>
      </c>
      <c r="E8" s="13" t="s">
        <v>314</v>
      </c>
      <c r="F8" s="4" t="s">
        <v>108</v>
      </c>
    </row>
    <row r="9" customFormat="false" ht="15" hidden="false" customHeight="false" outlineLevel="0" collapsed="false">
      <c r="A9" s="9" t="s">
        <v>54</v>
      </c>
      <c r="B9" s="4" t="s">
        <v>328</v>
      </c>
      <c r="C9" s="4" t="s">
        <v>329</v>
      </c>
      <c r="D9" s="4" t="s">
        <v>330</v>
      </c>
      <c r="E9" s="13" t="s">
        <v>314</v>
      </c>
      <c r="F9" s="4" t="s">
        <v>108</v>
      </c>
    </row>
    <row r="10" customFormat="false" ht="23.85" hidden="false" customHeight="false" outlineLevel="0" collapsed="false">
      <c r="A10" s="9" t="s">
        <v>57</v>
      </c>
      <c r="B10" s="4" t="s">
        <v>331</v>
      </c>
      <c r="C10" s="4" t="s">
        <v>332</v>
      </c>
      <c r="D10" s="4" t="s">
        <v>333</v>
      </c>
      <c r="E10" s="15" t="s">
        <v>334</v>
      </c>
      <c r="F10" s="4" t="s">
        <v>335</v>
      </c>
    </row>
    <row r="11" customFormat="false" ht="23.85" hidden="false" customHeight="false" outlineLevel="0" collapsed="false">
      <c r="A11" s="9" t="s">
        <v>60</v>
      </c>
      <c r="B11" s="4" t="s">
        <v>336</v>
      </c>
      <c r="C11" s="4" t="s">
        <v>337</v>
      </c>
      <c r="D11" s="4" t="s">
        <v>338</v>
      </c>
      <c r="E11" s="14" t="s">
        <v>339</v>
      </c>
      <c r="F11" s="4" t="s">
        <v>340</v>
      </c>
    </row>
    <row r="12" customFormat="false" ht="23.85" hidden="false" customHeight="false" outlineLevel="0" collapsed="false">
      <c r="A12" s="9" t="s">
        <v>65</v>
      </c>
      <c r="B12" s="4" t="s">
        <v>341</v>
      </c>
      <c r="C12" s="4" t="s">
        <v>337</v>
      </c>
      <c r="D12" s="4" t="s">
        <v>338</v>
      </c>
      <c r="E12" s="14" t="s">
        <v>339</v>
      </c>
      <c r="F12" s="4" t="s">
        <v>340</v>
      </c>
    </row>
    <row r="13" customFormat="false" ht="23.85" hidden="false" customHeight="false" outlineLevel="0" collapsed="false">
      <c r="A13" s="9" t="s">
        <v>67</v>
      </c>
      <c r="B13" s="4" t="s">
        <v>342</v>
      </c>
      <c r="C13" s="4" t="s">
        <v>337</v>
      </c>
      <c r="D13" s="4" t="s">
        <v>259</v>
      </c>
      <c r="E13" s="14" t="s">
        <v>339</v>
      </c>
      <c r="F13" s="4" t="s">
        <v>343</v>
      </c>
    </row>
    <row r="14" customFormat="false" ht="23.85" hidden="false" customHeight="false" outlineLevel="0" collapsed="false">
      <c r="A14" s="9" t="s">
        <v>69</v>
      </c>
      <c r="B14" s="4" t="s">
        <v>344</v>
      </c>
      <c r="C14" s="4" t="s">
        <v>337</v>
      </c>
      <c r="D14" s="4" t="s">
        <v>259</v>
      </c>
      <c r="E14" s="14" t="s">
        <v>339</v>
      </c>
      <c r="F14" s="4" t="s">
        <v>343</v>
      </c>
    </row>
    <row r="15" customFormat="false" ht="15" hidden="false" customHeight="false" outlineLevel="0" collapsed="false">
      <c r="A15" s="9" t="s">
        <v>71</v>
      </c>
      <c r="B15" s="4" t="s">
        <v>345</v>
      </c>
      <c r="C15" s="4" t="s">
        <v>337</v>
      </c>
      <c r="D15" s="4" t="s">
        <v>346</v>
      </c>
      <c r="E15" s="14" t="s">
        <v>339</v>
      </c>
      <c r="F15" s="4" t="s">
        <v>347</v>
      </c>
    </row>
    <row r="16" customFormat="false" ht="23.85" hidden="false" customHeight="false" outlineLevel="0" collapsed="false">
      <c r="A16" s="9" t="s">
        <v>74</v>
      </c>
      <c r="B16" s="4" t="s">
        <v>348</v>
      </c>
      <c r="C16" s="4" t="s">
        <v>337</v>
      </c>
      <c r="D16" s="4" t="s">
        <v>259</v>
      </c>
      <c r="E16" s="14" t="s">
        <v>339</v>
      </c>
      <c r="F16" s="4" t="s">
        <v>343</v>
      </c>
    </row>
    <row r="17" customFormat="false" ht="23.85" hidden="false" customHeight="false" outlineLevel="0" collapsed="false">
      <c r="A17" s="9" t="s">
        <v>76</v>
      </c>
      <c r="B17" s="4" t="s">
        <v>349</v>
      </c>
      <c r="C17" s="4" t="s">
        <v>337</v>
      </c>
      <c r="D17" s="4" t="s">
        <v>259</v>
      </c>
      <c r="E17" s="14" t="s">
        <v>339</v>
      </c>
      <c r="F17" s="4" t="s">
        <v>343</v>
      </c>
    </row>
    <row r="18" customFormat="false" ht="23.85" hidden="false" customHeight="false" outlineLevel="0" collapsed="false">
      <c r="A18" s="9" t="s">
        <v>79</v>
      </c>
      <c r="B18" s="4" t="s">
        <v>350</v>
      </c>
      <c r="C18" s="4" t="s">
        <v>337</v>
      </c>
      <c r="D18" s="4" t="s">
        <v>346</v>
      </c>
      <c r="E18" s="14" t="s">
        <v>339</v>
      </c>
      <c r="F18" s="4" t="s">
        <v>351</v>
      </c>
    </row>
    <row r="20" customFormat="false" ht="15" hidden="false" customHeight="false" outlineLevel="0" collapsed="false">
      <c r="A20" s="5" t="s">
        <v>352</v>
      </c>
    </row>
    <row r="21" customFormat="false" ht="15" hidden="false" customHeight="false" outlineLevel="0" collapsed="false">
      <c r="A21" s="16" t="s">
        <v>353</v>
      </c>
      <c r="B21" s="17" t="n">
        <f aca="false">COUNTA(A3:A18)</f>
        <v>16</v>
      </c>
    </row>
    <row r="22" customFormat="false" ht="15" hidden="false" customHeight="false" outlineLevel="0" collapsed="false">
      <c r="A22" s="16" t="s">
        <v>314</v>
      </c>
      <c r="B22" s="17" t="n">
        <f aca="false">COUNTIF(E3:E18,"Covered")</f>
        <v>6</v>
      </c>
    </row>
    <row r="23" customFormat="false" ht="15" hidden="false" customHeight="false" outlineLevel="0" collapsed="false">
      <c r="A23" s="16" t="s">
        <v>334</v>
      </c>
      <c r="B23" s="17" t="n">
        <f aca="false">COUNTIF(E3:E18,"Partially Covered")</f>
        <v>1</v>
      </c>
    </row>
    <row r="24" customFormat="false" ht="15" hidden="false" customHeight="false" outlineLevel="0" collapsed="false">
      <c r="A24" s="16" t="s">
        <v>339</v>
      </c>
      <c r="B24" s="17" t="n">
        <f aca="false">COUNTIF(E3:E18,"Not Covered")</f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2026-08-03T12:01:16Z</dcterms:created>
  <dc:creator>openpyxl</dc:creator>
  <dc:description/>
  <dc:language>en-US</dc:language>
  <cp:lastModifiedBy/>
  <dcterms:modified xsi:type="dcterms:W3CDTF">2026-08-03T12:01:16Z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