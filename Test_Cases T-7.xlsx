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ctical 7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<sst xmlns="http://schemas.openxmlformats.org/spreadsheetml/2006/main" count="148" uniqueCount="121">
  <si>
    <t xml:space="preserve">Practical 7 – Test Cases: Boundary Value Analysis (BVA) and Equivalence Partitioning (EP)</t>
  </si>
  <si>
    <t xml:space="preserve">Application Under Test: Expand Testing Practice Website (https://practice.expandtesting.com/login)</t>
  </si>
  <si>
    <t xml:space="preserve">Tester Information</t>
  </si>
  <si>
    <t xml:space="preserve">Module Name</t>
  </si>
  <si>
    <t xml:space="preserve">Login and Form Validation (Expand Testing Practice Website)</t>
  </si>
  <si>
    <t xml:space="preserve">Test Case ID / Test Suite ID</t>
  </si>
  <si>
    <t xml:space="preserve">TC07-01 to TC07-15 (Test Suite: TC07)</t>
  </si>
  <si>
    <t xml:space="preserve">Tester Name</t>
  </si>
  <si>
    <t xml:space="preserve">Software Testing Student</t>
  </si>
  <si>
    <t xml:space="preserve">Test Case Description</t>
  </si>
  <si>
    <t xml:space="preserve">Verification of the Expand Testing login form and an academic Python username-length rule using Equivalence Partitioning (valid/invalid login credentials, blank-field validation) and Boundary Value Analysis (username length boundaries 4, 5, 6, 10, 14, 15, 16).</t>
  </si>
  <si>
    <t xml:space="preserve">Prerequisites</t>
  </si>
  <si>
    <t xml:space="preserve">1. Internet connection available. 2. Google Chrome browser installed. 3. Expand Testing practice account credentials known (username: practice / password: SuperSecretPassword!). 4. Python 3 and Visual Studio Code installed for the academic BVA demonstration.</t>
  </si>
  <si>
    <t xml:space="preserve">Environment Information</t>
  </si>
  <si>
    <t xml:space="preserve">Operating System: Windows 11 | Browser: Google Chrome (latest) | Application/Website URL: https://practice.expandtesting.com/login | Python/IDE: Python 3, Visual Studio Code</t>
  </si>
  <si>
    <t xml:space="preserve">Detailed Test Cases</t>
  </si>
  <si>
    <t xml:space="preserve">Scenario ID</t>
  </si>
  <si>
    <t xml:space="preserve">Scenario</t>
  </si>
  <si>
    <t xml:space="preserve">Test Steps</t>
  </si>
  <si>
    <t xml:space="preserve">Test Input</t>
  </si>
  <si>
    <t xml:space="preserve">Expected Results</t>
  </si>
  <si>
    <t xml:space="preserve">Actual Results</t>
  </si>
  <si>
    <t xml:space="preserve">Status</t>
  </si>
  <si>
    <t xml:space="preserve">Comments</t>
  </si>
  <si>
    <t xml:space="preserve">TC07-01</t>
  </si>
  <si>
    <t xml:space="preserve">Login – Equivalence Partitioning (Valid Username &amp; Password)</t>
  </si>
  <si>
    <t xml:space="preserve">1. Open Login page
2. Enter valid username &amp; password
3. Click Login</t>
  </si>
  <si>
    <t xml:space="preserve">Username: practice
Password: SuperSecretPassword!</t>
  </si>
  <si>
    <t xml:space="preserve">Login successful; user redirected to /secure page with success message</t>
  </si>
  <si>
    <t xml:space="preserve">User was redirected to /secure page and the success message was displayed</t>
  </si>
  <si>
    <t xml:space="preserve">Pass</t>
  </si>
  <si>
    <t xml:space="preserve">Confirms the valid equivalence class for both username and password fields.</t>
  </si>
  <si>
    <t xml:space="preserve">TC07-02</t>
  </si>
  <si>
    <t xml:space="preserve">Login – Equivalence Partitioning (Invalid Username)</t>
  </si>
  <si>
    <t xml:space="preserve">1. Open Login page
2. Enter invalid username &amp; valid password
3. Click Login</t>
  </si>
  <si>
    <t xml:space="preserve">Username: wrongUser
Password: SuperSecretPassword!</t>
  </si>
  <si>
    <t xml:space="preserve">“Invalid username.” error displayed; login blocked</t>
  </si>
  <si>
    <t xml:space="preserve">“Invalid username.” error message was displayed on the login page</t>
  </si>
  <si>
    <t xml:space="preserve">Confirms the invalid equivalence class for the username field.</t>
  </si>
  <si>
    <t xml:space="preserve">TC07-03</t>
  </si>
  <si>
    <t xml:space="preserve">Login – Equivalence Partitioning (Invalid Password)</t>
  </si>
  <si>
    <t xml:space="preserve">1. Open Login page
2. Enter valid username &amp; wrong password
3. Click Login</t>
  </si>
  <si>
    <t xml:space="preserve">Username: practice
Password: WrongPassword123</t>
  </si>
  <si>
    <t xml:space="preserve">“Invalid password.” error displayed; login blocked</t>
  </si>
  <si>
    <t xml:space="preserve">“Invalid password.” error message was displayed on the login page</t>
  </si>
  <si>
    <t xml:space="preserve">Confirms the invalid equivalence class for the password field.</t>
  </si>
  <si>
    <t xml:space="preserve">TC07-04</t>
  </si>
  <si>
    <t xml:space="preserve">Login – Blank Username Validation</t>
  </si>
  <si>
    <t xml:space="preserve">1. Leave username field blank
2. Enter password
3. Click Login</t>
  </si>
  <si>
    <t xml:space="preserve">Username: (blank)
Password: SuperSecretPassword!</t>
  </si>
  <si>
    <t xml:space="preserve">Required-field validation prevents login</t>
  </si>
  <si>
    <t xml:space="preserve">Required-field validation was triggered and login was blocked</t>
  </si>
  <si>
    <t xml:space="preserve">Boundary/invalid case for a mandatory blank input on username.</t>
  </si>
  <si>
    <t xml:space="preserve">TC07-05</t>
  </si>
  <si>
    <t xml:space="preserve">Login – Blank Password Validation</t>
  </si>
  <si>
    <t xml:space="preserve">1. Enter username
2. Leave password field blank
3. Click Login</t>
  </si>
  <si>
    <t xml:space="preserve">Username: practice
Password: (blank)</t>
  </si>
  <si>
    <t xml:space="preserve">Boundary/invalid case for a mandatory blank input on password.</t>
  </si>
  <si>
    <t xml:space="preserve">TC07-06</t>
  </si>
  <si>
    <t xml:space="preserve">Login – Blank Username &amp; Password Validation</t>
  </si>
  <si>
    <t xml:space="preserve">1. Leave both fields blank
2. Click Login</t>
  </si>
  <si>
    <t xml:space="preserve">Username: (blank)
Password: (blank)</t>
  </si>
  <si>
    <t xml:space="preserve">Required-field validation triggered on both fields; login blocked</t>
  </si>
  <si>
    <t xml:space="preserve">Required-field validation was triggered on both fields and login was blocked</t>
  </si>
  <si>
    <t xml:space="preserve">Confirms combined blank-field validation across both mandatory fields.</t>
  </si>
  <si>
    <t xml:space="preserve">TC07-07</t>
  </si>
  <si>
    <t xml:space="preserve">Form Validation – Full Form Submission</t>
  </si>
  <si>
    <t xml:space="preserve">1. Enter valid username &amp; password
2. Submit form</t>
  </si>
  <si>
    <t xml:space="preserve">Form accepts valid input and processes it successfully to the secure area</t>
  </si>
  <si>
    <t xml:space="preserve">Form accepted valid input and the user was redirected to the secure area</t>
  </si>
  <si>
    <t xml:space="preserve">End-to-end confirmation that the whole login form processes valid data correctly.</t>
  </si>
  <si>
    <t xml:space="preserve">TC07-08</t>
  </si>
  <si>
    <t xml:space="preserve">Academic BVA (Python) – Just Below Minimum Boundary</t>
  </si>
  <si>
    <t xml:space="preserve">1. Run Python script
2. Enter username of length 4</t>
  </si>
  <si>
    <t xml:space="preserve">Username length = 4 (e.g., "abcd")</t>
  </si>
  <si>
    <t xml:space="preserve">“Invalid Username Length” printed</t>
  </si>
  <si>
    <t xml:space="preserve">“Invalid Username Length” was printed</t>
  </si>
  <si>
    <t xml:space="preserve">Boundary case Minimum-1; academic demonstration only, not the site's real validation rule.</t>
  </si>
  <si>
    <t xml:space="preserve">TC07-09</t>
  </si>
  <si>
    <t xml:space="preserve">Academic BVA (Python) – Minimum Boundary</t>
  </si>
  <si>
    <t xml:space="preserve">1. Run Python script
2. Enter username of length 5</t>
  </si>
  <si>
    <t xml:space="preserve">Username length = 5 (e.g., "abcde")</t>
  </si>
  <si>
    <t xml:space="preserve">“Valid Username” printed</t>
  </si>
  <si>
    <t xml:space="preserve">“Valid Username” was printed</t>
  </si>
  <si>
    <t xml:space="preserve">Boundary case Minimum; confirms lower edge of the valid range is accepted.</t>
  </si>
  <si>
    <t xml:space="preserve">TC07-10</t>
  </si>
  <si>
    <t xml:space="preserve">Academic BVA (Python) – Just Above Minimum Boundary</t>
  </si>
  <si>
    <t xml:space="preserve">1. Run Python script
2. Enter username of length 6</t>
  </si>
  <si>
    <t xml:space="preserve">Username length = 6</t>
  </si>
  <si>
    <t xml:space="preserve">Boundary case Minimum+1; confirms value just inside the valid range is accepted.</t>
  </si>
  <si>
    <t xml:space="preserve">TC07-11</t>
  </si>
  <si>
    <t xml:space="preserve">Academic BVA (Python) – Nominal Value</t>
  </si>
  <si>
    <t xml:space="preserve">1. Run Python script
2. Enter username of length 10</t>
  </si>
  <si>
    <t xml:space="preserve">Username length = 10 (e.g., "studentabc")</t>
  </si>
  <si>
    <t xml:space="preserve">Mid-range nominal value confirms normal expected behaviour.</t>
  </si>
  <si>
    <t xml:space="preserve">TC07-12</t>
  </si>
  <si>
    <t xml:space="preserve">Academic BVA (Python) – Just Below Maximum Boundary</t>
  </si>
  <si>
    <t xml:space="preserve">1. Run Python script
2. Enter username of length 14</t>
  </si>
  <si>
    <t xml:space="preserve">Username length = 14</t>
  </si>
  <si>
    <t xml:space="preserve">Boundary case Maximum-1; confirms value just inside the upper edge is accepted.</t>
  </si>
  <si>
    <t xml:space="preserve">TC07-13</t>
  </si>
  <si>
    <t xml:space="preserve">Academic BVA (Python) – Maximum Boundary</t>
  </si>
  <si>
    <t xml:space="preserve">1. Run Python script
2. Enter username of length 15</t>
  </si>
  <si>
    <t xml:space="preserve">Username length = 15</t>
  </si>
  <si>
    <t xml:space="preserve">Boundary case Maximum; confirms upper edge of the valid range is accepted.</t>
  </si>
  <si>
    <t xml:space="preserve">TC07-14</t>
  </si>
  <si>
    <t xml:space="preserve">Academic BVA (Python) – Just Above Maximum Boundary</t>
  </si>
  <si>
    <t xml:space="preserve">1. Run Python script
2. Enter username of length 16</t>
  </si>
  <si>
    <t xml:space="preserve">Username length = 16</t>
  </si>
  <si>
    <t xml:space="preserve">Boundary case Maximum+1; confirms value just outside the valid range is rejected.</t>
  </si>
  <si>
    <t xml:space="preserve">TC07-15</t>
  </si>
  <si>
    <t xml:space="preserve">Academic BVA (Python) – Blank Username Handling</t>
  </si>
  <si>
    <t xml:space="preserve">1. Run Python script
2. Leave username blank
3. Enter a password</t>
  </si>
  <si>
    <t xml:space="preserve">Username: (blank)
Password: pass123</t>
  </si>
  <si>
    <t xml:space="preserve">“Username cannot be blank” printed</t>
  </si>
  <si>
    <t xml:space="preserve">“Username cannot be blank” was printed</t>
  </si>
  <si>
    <t xml:space="preserve">Confirms the blank-input check is evaluated before the length/boundary check.</t>
  </si>
  <si>
    <t xml:space="preserve">Total Test Cases:</t>
  </si>
  <si>
    <t xml:space="preserve">Passed:</t>
  </si>
  <si>
    <t xml:space="preserve">Failed:</t>
  </si>
  <si>
    <t xml:space="preserve">Pass Percentage: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</si>
</sst>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C6E0B4"/>
      </patternFill>
    </fill>
    <fill>
      <patternFill patternType="solid">
        <fgColor rgb="FFC6E0B4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6" min="5" style="1" width="26"/>
    <col collapsed="false" customWidth="true" hidden="false" outlineLevel="0" max="7" min="7" style="1" width="10"/>
    <col collapsed="false" customWidth="true" hidden="false" outlineLevel="0" max="8" min="8" style="1" width="3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/>
      <c r="C5" s="6" t="s">
        <v>4</v>
      </c>
      <c r="D5" s="6"/>
      <c r="E5" s="6"/>
      <c r="F5" s="6"/>
      <c r="G5" s="6"/>
      <c r="H5" s="6"/>
    </row>
    <row r="6" customFormat="false" ht="15" hidden="false" customHeight="true" outlineLevel="0" collapsed="false">
      <c r="A6" s="5" t="s">
        <v>5</v>
      </c>
      <c r="B6" s="5"/>
      <c r="C6" s="6" t="s">
        <v>6</v>
      </c>
      <c r="D6" s="6"/>
      <c r="E6" s="6"/>
      <c r="F6" s="6"/>
      <c r="G6" s="6"/>
      <c r="H6" s="6"/>
    </row>
    <row r="7" customFormat="false" ht="15" hidden="false" customHeight="true" outlineLevel="0" collapsed="false">
      <c r="A7" s="5" t="s">
        <v>7</v>
      </c>
      <c r="B7" s="5"/>
      <c r="C7" s="6" t="s">
        <v>8</v>
      </c>
      <c r="D7" s="6"/>
      <c r="E7" s="6"/>
      <c r="F7" s="6"/>
      <c r="G7" s="6"/>
      <c r="H7" s="6"/>
    </row>
    <row r="8" customFormat="false" ht="23.25" hidden="false" customHeight="true" outlineLevel="0" collapsed="false">
      <c r="A8" s="5" t="s">
        <v>9</v>
      </c>
      <c r="B8" s="5"/>
      <c r="C8" s="6" t="s">
        <v>10</v>
      </c>
      <c r="D8" s="6"/>
      <c r="E8" s="6"/>
      <c r="F8" s="6"/>
      <c r="G8" s="6"/>
      <c r="H8" s="6"/>
    </row>
    <row r="9" customFormat="false" ht="23.25" hidden="false" customHeight="true" outlineLevel="0" collapsed="false">
      <c r="A9" s="5" t="s">
        <v>11</v>
      </c>
      <c r="B9" s="5"/>
      <c r="C9" s="6" t="s">
        <v>12</v>
      </c>
      <c r="D9" s="6"/>
      <c r="E9" s="6"/>
      <c r="F9" s="6"/>
      <c r="G9" s="6"/>
      <c r="H9" s="6"/>
    </row>
    <row r="10" customFormat="false" ht="23.25" hidden="false" customHeight="true" outlineLevel="0" collapsed="false">
      <c r="A10" s="5" t="s">
        <v>13</v>
      </c>
      <c r="B10" s="5"/>
      <c r="C10" s="6" t="s">
        <v>14</v>
      </c>
      <c r="D10" s="6"/>
      <c r="E10" s="6"/>
      <c r="F10" s="6"/>
      <c r="G10" s="6"/>
      <c r="H10" s="6"/>
    </row>
    <row r="12" customFormat="false" ht="15" hidden="false" customHeight="true" outlineLevel="0" collapsed="false">
      <c r="A12" s="4" t="s">
        <v>15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20</v>
      </c>
      <c r="F13" s="7" t="s">
        <v>21</v>
      </c>
      <c r="G13" s="7" t="s">
        <v>22</v>
      </c>
      <c r="H13" s="7" t="s">
        <v>23</v>
      </c>
    </row>
    <row r="14" customFormat="false" ht="61.5" hidden="false" customHeight="true" outlineLevel="0" collapsed="false">
      <c r="A14" s="8" t="s">
        <v>24</v>
      </c>
      <c r="B14" s="6" t="s">
        <v>25</v>
      </c>
      <c r="C14" s="6" t="s">
        <v>26</v>
      </c>
      <c r="D14" s="6" t="s">
        <v>27</v>
      </c>
      <c r="E14" s="6" t="s">
        <v>28</v>
      </c>
      <c r="F14" s="6" t="s">
        <v>29</v>
      </c>
      <c r="G14" s="9" t="s">
        <v>30</v>
      </c>
      <c r="H14" s="6" t="s">
        <v>31</v>
      </c>
    </row>
    <row r="15" customFormat="false" ht="61.5" hidden="false" customHeight="true" outlineLevel="0" collapsed="false">
      <c r="A15" s="8" t="s">
        <v>32</v>
      </c>
      <c r="B15" s="6" t="s">
        <v>33</v>
      </c>
      <c r="C15" s="6" t="s">
        <v>34</v>
      </c>
      <c r="D15" s="6" t="s">
        <v>35</v>
      </c>
      <c r="E15" s="6" t="s">
        <v>36</v>
      </c>
      <c r="F15" s="6" t="s">
        <v>37</v>
      </c>
      <c r="G15" s="9" t="s">
        <v>30</v>
      </c>
      <c r="H15" s="6" t="s">
        <v>38</v>
      </c>
    </row>
    <row r="16" customFormat="false" ht="61.5" hidden="false" customHeight="true" outlineLevel="0" collapsed="false">
      <c r="A16" s="8" t="s">
        <v>39</v>
      </c>
      <c r="B16" s="6" t="s">
        <v>40</v>
      </c>
      <c r="C16" s="6" t="s">
        <v>41</v>
      </c>
      <c r="D16" s="6" t="s">
        <v>42</v>
      </c>
      <c r="E16" s="6" t="s">
        <v>43</v>
      </c>
      <c r="F16" s="6" t="s">
        <v>44</v>
      </c>
      <c r="G16" s="9" t="s">
        <v>30</v>
      </c>
      <c r="H16" s="6" t="s">
        <v>45</v>
      </c>
    </row>
    <row r="17" customFormat="false" ht="61.5" hidden="false" customHeight="true" outlineLevel="0" collapsed="false">
      <c r="A17" s="8" t="s">
        <v>46</v>
      </c>
      <c r="B17" s="6" t="s">
        <v>47</v>
      </c>
      <c r="C17" s="6" t="s">
        <v>48</v>
      </c>
      <c r="D17" s="6" t="s">
        <v>49</v>
      </c>
      <c r="E17" s="6" t="s">
        <v>50</v>
      </c>
      <c r="F17" s="6" t="s">
        <v>51</v>
      </c>
      <c r="G17" s="9" t="s">
        <v>30</v>
      </c>
      <c r="H17" s="6" t="s">
        <v>52</v>
      </c>
    </row>
    <row r="18" customFormat="false" ht="61.5" hidden="false" customHeight="true" outlineLevel="0" collapsed="false">
      <c r="A18" s="8" t="s">
        <v>53</v>
      </c>
      <c r="B18" s="6" t="s">
        <v>54</v>
      </c>
      <c r="C18" s="6" t="s">
        <v>55</v>
      </c>
      <c r="D18" s="6" t="s">
        <v>56</v>
      </c>
      <c r="E18" s="6" t="s">
        <v>50</v>
      </c>
      <c r="F18" s="6" t="s">
        <v>51</v>
      </c>
      <c r="G18" s="9" t="s">
        <v>30</v>
      </c>
      <c r="H18" s="6" t="s">
        <v>57</v>
      </c>
    </row>
    <row r="19" customFormat="false" ht="61.5" hidden="false" customHeight="true" outlineLevel="0" collapsed="false">
      <c r="A19" s="8" t="s">
        <v>58</v>
      </c>
      <c r="B19" s="6" t="s">
        <v>59</v>
      </c>
      <c r="C19" s="6" t="s">
        <v>60</v>
      </c>
      <c r="D19" s="6" t="s">
        <v>61</v>
      </c>
      <c r="E19" s="6" t="s">
        <v>62</v>
      </c>
      <c r="F19" s="6" t="s">
        <v>63</v>
      </c>
      <c r="G19" s="9" t="s">
        <v>30</v>
      </c>
      <c r="H19" s="6" t="s">
        <v>64</v>
      </c>
    </row>
    <row r="20" customFormat="false" ht="61.5" hidden="false" customHeight="true" outlineLevel="0" collapsed="false">
      <c r="A20" s="8" t="s">
        <v>65</v>
      </c>
      <c r="B20" s="6" t="s">
        <v>66</v>
      </c>
      <c r="C20" s="6" t="s">
        <v>67</v>
      </c>
      <c r="D20" s="6" t="s">
        <v>27</v>
      </c>
      <c r="E20" s="6" t="s">
        <v>68</v>
      </c>
      <c r="F20" s="6" t="s">
        <v>69</v>
      </c>
      <c r="G20" s="9" t="s">
        <v>30</v>
      </c>
      <c r="H20" s="6" t="s">
        <v>70</v>
      </c>
    </row>
    <row r="21" customFormat="false" ht="61.5" hidden="false" customHeight="true" outlineLevel="0" collapsed="false">
      <c r="A21" s="8" t="s">
        <v>71</v>
      </c>
      <c r="B21" s="6" t="s">
        <v>72</v>
      </c>
      <c r="C21" s="6" t="s">
        <v>73</v>
      </c>
      <c r="D21" s="6" t="s">
        <v>74</v>
      </c>
      <c r="E21" s="6" t="s">
        <v>75</v>
      </c>
      <c r="F21" s="6" t="s">
        <v>76</v>
      </c>
      <c r="G21" s="9" t="s">
        <v>30</v>
      </c>
      <c r="H21" s="6" t="s">
        <v>77</v>
      </c>
    </row>
    <row r="22" customFormat="false" ht="61.5" hidden="false" customHeight="true" outlineLevel="0" collapsed="false">
      <c r="A22" s="8" t="s">
        <v>78</v>
      </c>
      <c r="B22" s="6" t="s">
        <v>79</v>
      </c>
      <c r="C22" s="6" t="s">
        <v>80</v>
      </c>
      <c r="D22" s="6" t="s">
        <v>81</v>
      </c>
      <c r="E22" s="6" t="s">
        <v>82</v>
      </c>
      <c r="F22" s="6" t="s">
        <v>83</v>
      </c>
      <c r="G22" s="9" t="s">
        <v>30</v>
      </c>
      <c r="H22" s="6" t="s">
        <v>84</v>
      </c>
    </row>
    <row r="23" customFormat="false" ht="61.5" hidden="false" customHeight="true" outlineLevel="0" collapsed="false">
      <c r="A23" s="8" t="s">
        <v>85</v>
      </c>
      <c r="B23" s="6" t="s">
        <v>86</v>
      </c>
      <c r="C23" s="6" t="s">
        <v>87</v>
      </c>
      <c r="D23" s="6" t="s">
        <v>88</v>
      </c>
      <c r="E23" s="6" t="s">
        <v>82</v>
      </c>
      <c r="F23" s="6" t="s">
        <v>83</v>
      </c>
      <c r="G23" s="9" t="s">
        <v>30</v>
      </c>
      <c r="H23" s="6" t="s">
        <v>89</v>
      </c>
    </row>
    <row r="24" customFormat="false" ht="61.5" hidden="false" customHeight="true" outlineLevel="0" collapsed="false">
      <c r="A24" s="8" t="s">
        <v>90</v>
      </c>
      <c r="B24" s="6" t="s">
        <v>91</v>
      </c>
      <c r="C24" s="6" t="s">
        <v>92</v>
      </c>
      <c r="D24" s="6" t="s">
        <v>93</v>
      </c>
      <c r="E24" s="6" t="s">
        <v>82</v>
      </c>
      <c r="F24" s="6" t="s">
        <v>83</v>
      </c>
      <c r="G24" s="9" t="s">
        <v>30</v>
      </c>
      <c r="H24" s="6" t="s">
        <v>94</v>
      </c>
    </row>
    <row r="25" customFormat="false" ht="61.5" hidden="false" customHeight="true" outlineLevel="0" collapsed="false">
      <c r="A25" s="8" t="s">
        <v>95</v>
      </c>
      <c r="B25" s="6" t="s">
        <v>96</v>
      </c>
      <c r="C25" s="6" t="s">
        <v>97</v>
      </c>
      <c r="D25" s="6" t="s">
        <v>98</v>
      </c>
      <c r="E25" s="6" t="s">
        <v>82</v>
      </c>
      <c r="F25" s="6" t="s">
        <v>83</v>
      </c>
      <c r="G25" s="9" t="s">
        <v>30</v>
      </c>
      <c r="H25" s="6" t="s">
        <v>99</v>
      </c>
    </row>
    <row r="26" customFormat="false" ht="61.5" hidden="false" customHeight="true" outlineLevel="0" collapsed="false">
      <c r="A26" s="8" t="s">
        <v>100</v>
      </c>
      <c r="B26" s="6" t="s">
        <v>101</v>
      </c>
      <c r="C26" s="6" t="s">
        <v>102</v>
      </c>
      <c r="D26" s="6" t="s">
        <v>103</v>
      </c>
      <c r="E26" s="6" t="s">
        <v>82</v>
      </c>
      <c r="F26" s="6" t="s">
        <v>83</v>
      </c>
      <c r="G26" s="9" t="s">
        <v>30</v>
      </c>
      <c r="H26" s="6" t="s">
        <v>104</v>
      </c>
    </row>
    <row r="27" customFormat="false" ht="61.5" hidden="false" customHeight="true" outlineLevel="0" collapsed="false">
      <c r="A27" s="8" t="s">
        <v>105</v>
      </c>
      <c r="B27" s="6" t="s">
        <v>106</v>
      </c>
      <c r="C27" s="6" t="s">
        <v>107</v>
      </c>
      <c r="D27" s="6" t="s">
        <v>108</v>
      </c>
      <c r="E27" s="6" t="s">
        <v>75</v>
      </c>
      <c r="F27" s="6" t="s">
        <v>76</v>
      </c>
      <c r="G27" s="9" t="s">
        <v>30</v>
      </c>
      <c r="H27" s="6" t="s">
        <v>109</v>
      </c>
    </row>
    <row r="28" customFormat="false" ht="61.5" hidden="false" customHeight="true" outlineLevel="0" collapsed="false">
      <c r="A28" s="8" t="s">
        <v>110</v>
      </c>
      <c r="B28" s="6" t="s">
        <v>111</v>
      </c>
      <c r="C28" s="6" t="s">
        <v>112</v>
      </c>
      <c r="D28" s="6" t="s">
        <v>113</v>
      </c>
      <c r="E28" s="6" t="s">
        <v>114</v>
      </c>
      <c r="F28" s="6" t="s">
        <v>115</v>
      </c>
      <c r="G28" s="9" t="s">
        <v>30</v>
      </c>
      <c r="H28" s="6" t="s">
        <v>116</v>
      </c>
    </row>
    <row r="30" customFormat="false" ht="15" hidden="false" customHeight="true" outlineLevel="0" collapsed="false">
      <c r="A30" s="10" t="s">
        <v>117</v>
      </c>
      <c r="B30" s="10"/>
      <c r="C30" s="10"/>
      <c r="D30" s="10"/>
      <c r="E30" s="10"/>
      <c r="F30" s="10"/>
      <c r="G30" s="11" t="n">
        <f aca="false">COUNTA(A14:A28)</f>
        <v>15</v>
      </c>
    </row>
    <row r="31" customFormat="false" ht="15" hidden="false" customHeight="true" outlineLevel="0" collapsed="false">
      <c r="A31" s="10" t="s">
        <v>118</v>
      </c>
      <c r="B31" s="10"/>
      <c r="C31" s="10"/>
      <c r="D31" s="10"/>
      <c r="E31" s="10"/>
      <c r="F31" s="10"/>
      <c r="G31" s="11" t="n">
        <f aca="false">COUNTIF(G14:G28,"Pass")</f>
        <v>15</v>
      </c>
    </row>
    <row r="32" customFormat="false" ht="15" hidden="false" customHeight="true" outlineLevel="0" collapsed="false">
      <c r="A32" s="10" t="s">
        <v>119</v>
      </c>
      <c r="B32" s="10"/>
      <c r="C32" s="10"/>
      <c r="D32" s="10"/>
      <c r="E32" s="10"/>
      <c r="F32" s="10"/>
      <c r="G32" s="11" t="n">
        <f aca="false">COUNTIF(G14:G28,"Fail")</f>
        <v>0</v>
      </c>
    </row>
    <row r="33" customFormat="false" ht="15" hidden="false" customHeight="true" outlineLevel="0" collapsed="false">
      <c r="A33" s="10" t="s">
        <v>120</v>
      </c>
      <c r="B33" s="10"/>
      <c r="C33" s="10"/>
      <c r="D33" s="10"/>
      <c r="E33" s="10"/>
      <c r="F33" s="10"/>
      <c r="G33" s="11" t="str">
        <f aca="false">TEXT(G31/G30*100,"0.0")&amp;"%"</f>
        <v>100.0%</v>
      </c>
    </row>
  </sheetData>
  <mergeCells count="20">
    <mergeCell ref="A1:H1"/>
    <mergeCell ref="A2:H2"/>
    <mergeCell ref="A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2:H12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2026-08-26T05:13:48Z</dcterms:created>
  <dc:creator>openpyxl</dc:creator>
  <dc:description/>
  <dc:language>en-US</dc:language>
  <cp:lastModifiedBy/>
  <dcterms:modified xsi:type="dcterms:W3CDTF">2026-08-27T04:05:37Z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